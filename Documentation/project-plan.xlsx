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dea Planner" sheetId="1" state="visible" r:id="rId3"/>
  </sheets>
  <definedNames>
    <definedName function="false" hidden="false" localSheetId="0" name="_xlnm.Print_Titles" vbProcedure="false">'Idea Planner'!$6:$6</definedName>
    <definedName function="false" hidden="false" name="ColumnTitle1" vbProcedure="false">Tasks[[#Headers],[ Task Status Indicator]]</definedName>
    <definedName function="false" hidden="false" name="ColumnTitleRegion1..G5.1" vbProcedure="false">'Idea Planner'!$B$4</definedName>
    <definedName function="false" hidden="false" name="PlanDueDate" vbProcedure="false">'Idea Planner'!$E$3</definedName>
    <definedName function="false" hidden="false" name="RowTitleRegion1..E3" vbProcedure="false">'Idea Planner'!$D$2</definedName>
    <definedName function="false" hidden="false" name="RowTitleRegion2..G3" vbProcedure="false">'Idea Planner'!$F$2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<sst xmlns="http://schemas.openxmlformats.org/spreadsheetml/2006/main" count="264" uniqueCount="118">
  <si>
    <t xml:space="preserve">Idea Planner</t>
  </si>
  <si>
    <t xml:space="preserve">Topic:</t>
  </si>
  <si>
    <t xml:space="preserve">Productivity-Game</t>
  </si>
  <si>
    <t xml:space="preserve"> Project Due Date:</t>
  </si>
  <si>
    <t xml:space="preserve">Name:</t>
  </si>
  <si>
    <t xml:space="preserve">Egor, Sanjivan</t>
  </si>
  <si>
    <t xml:space="preserve">Goal:</t>
  </si>
  <si>
    <t xml:space="preserve">Objective:</t>
  </si>
  <si>
    <t xml:space="preserve">Beim Projekt handelt es sich um eine Web basierte Anwendung, welche die Produktivität des Benutzers fördern soll. Dies wird mit einem Spielerischem Ansatz erreicht (Gamification). Die Website soll Nutzern ermöglichen Tasks zu verwalten und abzuarbeiten, gleichzeitig aber den Nutzern zu motivieren die Task zu erledigen. Dafür werden Elemente der Spielebranche benutzt wie XP, Level, Streaks, welche die Arbeit messbar macht und motivierend wirkt.</t>
  </si>
  <si>
    <t xml:space="preserve">Webapplikation, Produktivität, Gamification</t>
  </si>
  <si>
    <t xml:space="preserve"> Task Status Indicator</t>
  </si>
  <si>
    <t xml:space="preserve">Tasks</t>
  </si>
  <si>
    <t xml:space="preserve">Due Date</t>
  </si>
  <si>
    <t xml:space="preserve">Done?</t>
  </si>
  <si>
    <t xml:space="preserve">Status Icon</t>
  </si>
  <si>
    <t xml:space="preserve">Responsibility</t>
  </si>
  <si>
    <t xml:space="preserve">Phase 1: Planung &amp; Vorbereitung                        1.1: Projektdefinition</t>
  </si>
  <si>
    <t xml:space="preserve">Ziel der Anwendung schriftlich festhalten</t>
  </si>
  <si>
    <t xml:space="preserve">Yes</t>
  </si>
  <si>
    <t xml:space="preserve">Sanjivan</t>
  </si>
  <si>
    <t xml:space="preserve">Funktionbeschreibung</t>
  </si>
  <si>
    <t xml:space="preserve">Tasksverwaltung</t>
  </si>
  <si>
    <t xml:space="preserve">Projektplan bestimmen</t>
  </si>
  <si>
    <t xml:space="preserve">Egor</t>
  </si>
  <si>
    <t xml:space="preserve">1.2: Feature-Liste &amp; Use-Cases</t>
  </si>
  <si>
    <t xml:space="preserve">Features auflisten (CRUD)</t>
  </si>
  <si>
    <t xml:space="preserve">Wie wird XP berechnt &amp; gespeichert</t>
  </si>
  <si>
    <t xml:space="preserve">Level bestimmen</t>
  </si>
  <si>
    <t xml:space="preserve">Streak aktualisieren</t>
  </si>
  <si>
    <t xml:space="preserve">Wichtige Use-Cases beschreiben </t>
  </si>
  <si>
    <t xml:space="preserve">Sanjivan &amp; Egor</t>
  </si>
  <si>
    <t xml:space="preserve">1.3: Datenanalyse &amp; Modellierung</t>
  </si>
  <si>
    <t xml:space="preserve">Entitäten festlegen</t>
  </si>
  <si>
    <t xml:space="preserve">attribute, datentypen, PK festlegen</t>
  </si>
  <si>
    <t xml:space="preserve">Beziehungen definieren</t>
  </si>
  <si>
    <t xml:space="preserve">Kardinalitäten bestimmen</t>
  </si>
  <si>
    <t xml:space="preserve">ER Diagramm erstellen</t>
  </si>
  <si>
    <t xml:space="preserve">Relationales Diagramm erstellen</t>
  </si>
  <si>
    <t xml:space="preserve">Pending</t>
  </si>
  <si>
    <t xml:space="preserve">Diagramme ablegen</t>
  </si>
  <si>
    <t xml:space="preserve">1.4: OOP-Design</t>
  </si>
  <si>
    <t xml:space="preserve">Klassen definieren passend zur DB</t>
  </si>
  <si>
    <t xml:space="preserve">UML-Klassendiagramm erstellen</t>
  </si>
  <si>
    <t xml:space="preserve">1.5: Programmablauf planen</t>
  </si>
  <si>
    <t xml:space="preserve">PAP erstellen (PapDesigner)</t>
  </si>
  <si>
    <t xml:space="preserve">No</t>
  </si>
  <si>
    <t xml:space="preserve">Phase 2: UX/UI &amp; Struktur                                        2.1: Seitenstruktur</t>
  </si>
  <si>
    <t xml:space="preserve">Seiten festlegen</t>
  </si>
  <si>
    <t xml:space="preserve">Zwecks- und Funktionsdefinition</t>
  </si>
  <si>
    <t xml:space="preserve">Navigation bestimmen</t>
  </si>
  <si>
    <t xml:space="preserve">Benutzerabläufe festlegen</t>
  </si>
  <si>
    <t xml:space="preserve">2.2: Wireframes</t>
  </si>
  <si>
    <t xml:space="preserve">Wireframe-Tool auswählen</t>
  </si>
  <si>
    <t xml:space="preserve">Wireframes erstellen</t>
  </si>
  <si>
    <t xml:space="preserve">Wireframes exportieren und ablegen</t>
  </si>
  <si>
    <t xml:space="preserve">2.3: Mockup-Erstellung</t>
  </si>
  <si>
    <t xml:space="preserve">Farben, Typographie und Abstände definieren</t>
  </si>
  <si>
    <t xml:space="preserve">UI-Komponenten ausarbeiten</t>
  </si>
  <si>
    <t xml:space="preserve">Einheitliches Design festlegen</t>
  </si>
  <si>
    <t xml:space="preserve">Mockup</t>
  </si>
  <si>
    <t xml:space="preserve">Mockup exportieren und ablegen</t>
  </si>
  <si>
    <t xml:space="preserve">Phase 3: Backend/DB - Basis                                   3.1: Grundsetup</t>
  </si>
  <si>
    <t xml:space="preserve">SQLite Scripte erstellen (Create, Insert, Programmability)</t>
  </si>
  <si>
    <t xml:space="preserve">Create Scipt schreiben</t>
  </si>
  <si>
    <t xml:space="preserve">Insert Script schreiben</t>
  </si>
  <si>
    <t xml:space="preserve">Programmability Script schreiben</t>
  </si>
  <si>
    <t xml:space="preserve">Ordnerstruktur für Services, Datenzugriff erstellen</t>
  </si>
  <si>
    <t xml:space="preserve">Backend-Projekt in C# erstellen</t>
  </si>
  <si>
    <t xml:space="preserve">SQLite als lokale Datenbank anbinden</t>
  </si>
  <si>
    <t xml:space="preserve">Zentrale Datenbankverbindung implementieren (Singleton-Pattern)</t>
  </si>
  <si>
    <t xml:space="preserve">Fehlerbehandlung für Datenbankzugriffe integrieren</t>
  </si>
  <si>
    <t xml:space="preserve">3.2: Authentifizierung</t>
  </si>
  <si>
    <t xml:space="preserve">Benutzer anlegen</t>
  </si>
  <si>
    <t xml:space="preserve">Benutzer eindeutig identifizieren</t>
  </si>
  <si>
    <t xml:space="preserve">Login-Logik implementieren</t>
  </si>
  <si>
    <t xml:space="preserve">Validierung von Benutzereingaben</t>
  </si>
  <si>
    <t xml:space="preserve">3.3: Portfolio-Logik</t>
  </si>
  <si>
    <t xml:space="preserve">CRUD-Funktionalität für Portfolios implementieren</t>
  </si>
  <si>
    <t xml:space="preserve">Inhalte hinzufügen: Text, Bilder, Links</t>
  </si>
  <si>
    <t xml:space="preserve">Inhalte bearbeiten und löschen ermöglichen</t>
  </si>
  <si>
    <t xml:space="preserve">Phase 4: Einstellungen &amp; Veröffentlichung
4.1: XP-System</t>
  </si>
  <si>
    <t xml:space="preserve">Theme, Farbe und Schriftart anpassbar machen</t>
  </si>
  <si>
    <t xml:space="preserve">Hash-basierte dauerhafte URL generiern</t>
  </si>
  <si>
    <t xml:space="preserve">Portfolio Teilen Funktion implementieren</t>
  </si>
  <si>
    <t xml:space="preserve">Phase 5: Frontend – Kernfunktionen                  5.1: Grundlayout</t>
  </si>
  <si>
    <t xml:space="preserve">Vue Projekt erstellen</t>
  </si>
  <si>
    <t xml:space="preserve">Grundlayout umsetzen (Navbar, Footer)</t>
  </si>
  <si>
    <t xml:space="preserve">Routing/ Navigation zwischen Seiten implementieren</t>
  </si>
  <si>
    <t xml:space="preserve">Einheitliche UI/UX Elemente und Styles definieren</t>
  </si>
  <si>
    <t xml:space="preserve">5.2 Frontend UI</t>
  </si>
  <si>
    <t xml:space="preserve">Portfolio erstellen und bearbeiten UI</t>
  </si>
  <si>
    <t xml:space="preserve">Drag-and-Drop Funktionen bei Portfolio erstellung</t>
  </si>
  <si>
    <t xml:space="preserve">Vorschau-Funktion vor Veröffentlichung</t>
  </si>
  <si>
    <t xml:space="preserve">Portfolio Teilen-Button</t>
  </si>
  <si>
    <t xml:space="preserve">Phase 6: Dashboard &amp; Statistiken                          6.1 Dashboard</t>
  </si>
  <si>
    <t xml:space="preserve">Dashboard für eigene Portfolios mit info wie letzte Änderungen.</t>
  </si>
  <si>
    <t xml:space="preserve">Phase 7: Erweiterungen                                            7.1 ease-of-use</t>
  </si>
  <si>
    <t xml:space="preserve">Imprt / Export von Portfolios (JSON)</t>
  </si>
  <si>
    <t xml:space="preserve">Mehr Drag und Drop Funtktionalität, auch von Bildern</t>
  </si>
  <si>
    <t xml:space="preserve">Komponenten-Bibliothek</t>
  </si>
  <si>
    <t xml:space="preserve">7.2 Analyse</t>
  </si>
  <si>
    <t xml:space="preserve">Scoring von Portfolios</t>
  </si>
  <si>
    <t xml:space="preserve">Benutzer Feedback?</t>
  </si>
  <si>
    <t xml:space="preserve">Phase 8: Qualität und Abschluss                            8.1 Testing</t>
  </si>
  <si>
    <t xml:space="preserve">Unit-Tests für das Backend</t>
  </si>
  <si>
    <t xml:space="preserve">Tests für Datenbankzugriffe</t>
  </si>
  <si>
    <t xml:space="preserve">UI-Tests für Portfolio-Erstellung und Vorschau</t>
  </si>
  <si>
    <t xml:space="preserve">Fehlerbehandlung gezielt prüfen</t>
  </si>
  <si>
    <t xml:space="preserve">8.2 Finalisierung</t>
  </si>
  <si>
    <t xml:space="preserve">Bugs beheben</t>
  </si>
  <si>
    <t xml:space="preserve">Code verbessern (Lesbarkeit/ Struktur)</t>
  </si>
  <si>
    <t xml:space="preserve">Kommentare / Best Practise</t>
  </si>
  <si>
    <t xml:space="preserve">Dokumentation prüfen auf vollständigkeit</t>
  </si>
  <si>
    <t xml:space="preserve">Projekt testen (lokal)</t>
  </si>
  <si>
    <t xml:space="preserve">8.3 Release</t>
  </si>
  <si>
    <t xml:space="preserve">Github Actions vorbereiten</t>
  </si>
  <si>
    <t xml:space="preserve">Projekt builden</t>
  </si>
  <si>
    <t xml:space="preserve">Projekt veröffentlichen</t>
  </si>
</sst>
</file>

<file path=xl/styles.xml><?xml version="1.0" encoding="utf-8"?>
<styleSheet xmlns="http://schemas.openxmlformats.org/spreadsheetml/2006/main">
  <numFmts count="3">
    <numFmt numFmtId="164" formatCode="General"/>
    <numFmt numFmtId="165" formatCode="m/d/yyyy"/>
    <numFmt numFmtId="166" formatCode="&quot;Complete&quot;;&quot;Incomplete or Overdue&quot;;&quot;Pending or Due Tomorrow&quot;"/>
  </numFmts>
  <fonts count="12">
    <font>
      <sz val="11"/>
      <color theme="4" tint="-0.5"/>
      <name val="Calibri"/>
      <family val="2"/>
      <charset val="1"/>
    </font>
    <font>
      <sz val="10"/>
      <name val="Arial"/>
      <family val="0"/>
    </font>
    <font>
      <sz val="10"/>
      <name val="Arial"/>
      <family val="0"/>
    </font>
    <font>
      <sz val="10"/>
      <name val="Arial"/>
      <family val="0"/>
    </font>
    <font>
      <sz val="11"/>
      <color theme="0"/>
      <name val="Calibri"/>
      <family val="2"/>
      <charset val="1"/>
    </font>
    <font>
      <b val="true"/>
      <sz val="30"/>
      <color theme="0"/>
      <name val="Calibri"/>
      <family val="2"/>
      <charset val="1"/>
    </font>
    <font>
      <b val="true"/>
      <sz val="13"/>
      <color theme="0"/>
      <name val="Calibri"/>
      <family val="2"/>
      <charset val="1"/>
    </font>
    <font>
      <sz val="12"/>
      <color theme="3"/>
      <name val="Calibri"/>
      <family val="2"/>
      <charset val="1"/>
    </font>
    <font>
      <b val="true"/>
      <sz val="14"/>
      <color theme="4" tint="-0.25"/>
      <name val="Calibri"/>
      <family val="2"/>
      <charset val="1"/>
    </font>
    <font>
      <sz val="11"/>
      <color theme="3"/>
      <name val="Calibri"/>
      <family val="2"/>
      <charset val="1"/>
    </font>
    <font>
      <b val="true"/>
      <sz val="14"/>
      <color theme="0"/>
      <name val="Calibri"/>
      <family val="2"/>
      <charset val="1"/>
    </font>
    <font>
      <sz val="11"/>
      <name val="Calibri"/>
      <family val="2"/>
      <charset val="1"/>
    </font>
  </fonts>
  <fills count="6">
    <fill>
      <patternFill patternType="none"/>
    </fill>
    <fill>
      <patternFill patternType="gray125"/>
    </fill>
    <fill>
      <patternFill patternType="solid">
        <fgColor theme="4" tint="-0.25"/>
        <bgColor rgb="FF505050"/>
      </patternFill>
    </fill>
    <fill>
      <patternFill patternType="solid">
        <fgColor theme="0"/>
        <bgColor rgb="FFFFFFCC"/>
      </patternFill>
    </fill>
    <fill>
      <patternFill patternType="solid">
        <fgColor theme="3" tint="0.7999"/>
        <bgColor rgb="FFD8D8D8"/>
      </patternFill>
    </fill>
    <fill>
      <patternFill patternType="solid">
        <fgColor theme="2" tint="-0.1"/>
        <bgColor rgb="FFDCDCDC"/>
      </patternFill>
    </fill>
  </fills>
  <borders count="4">
    <border diagonalUp="false" diagonalDown="false">
      <left/>
      <right/>
      <top/>
      <bottom/>
      <diagonal/>
    </border>
    <border diagonalUp="false" diagonalDown="false">
      <left/>
      <right/>
      <top/>
      <bottom style="thick">
        <color theme="4" tint="-0.25"/>
      </bottom>
      <diagonal/>
    </border>
    <border diagonalUp="false" diagonalDown="false">
      <left style="thick">
        <color theme="4" tint="-0.25"/>
      </left>
      <right/>
      <top style="thick">
        <color theme="4" tint="-0.25"/>
      </top>
      <bottom/>
      <diagonal/>
    </border>
    <border diagonalUp="false" diagonalDown="false">
      <left style="thick">
        <color theme="4" tint="-0.25"/>
      </left>
      <right/>
      <top/>
      <bottom/>
      <diagonal/>
    </border>
  </borders>
  <cellStyleXfs count="31">
    <xf numFmtId="164" fontId="0" fillId="2"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true">
      <alignment horizontal="center" vertical="center" textRotation="0" wrapText="true" indent="0" shrinkToFit="false"/>
      <protection locked="true" hidden="false"/>
    </xf>
    <xf numFmtId="165" fontId="0" fillId="2" borderId="0" applyFont="true" applyBorder="false" applyAlignment="true" applyProtection="true">
      <alignment horizontal="right" vertical="center" textRotation="0" wrapText="false" indent="1" shrinkToFit="false"/>
      <protection locked="true" hidden="false"/>
    </xf>
    <xf numFmtId="165" fontId="0" fillId="2" borderId="0" applyFont="true" applyBorder="false" applyAlignment="true" applyProtection="true">
      <alignment horizontal="left" vertical="center" textRotation="0" wrapText="true" indent="1" shrinkToFit="false"/>
      <protection locked="true" hidden="false"/>
    </xf>
    <xf numFmtId="166" fontId="0" fillId="2" borderId="0" applyFont="true" applyBorder="true" applyAlignment="true" applyProtection="true">
      <alignment horizontal="left" vertical="center" textRotation="0" wrapText="true" indent="3" shrinkToFit="false"/>
      <protection locked="true" hidden="false"/>
    </xf>
    <xf numFmtId="164" fontId="4" fillId="2" borderId="0" applyFont="true" applyBorder="false" applyAlignment="true" applyProtection="true">
      <alignment horizontal="left" vertical="center" textRotation="0" wrapText="true" indent="1" shrinkToFit="false"/>
      <protection locked="true" hidden="false"/>
    </xf>
    <xf numFmtId="164" fontId="5" fillId="2" borderId="0" applyFont="true" applyBorder="false" applyAlignment="true" applyProtection="false">
      <alignment horizontal="left" vertical="top" textRotation="0" wrapText="false" indent="1" shrinkToFit="false"/>
    </xf>
    <xf numFmtId="164" fontId="6" fillId="2" borderId="0" applyFont="true" applyBorder="false" applyAlignment="true" applyProtection="false">
      <alignment horizontal="right" vertical="center" textRotation="0" wrapText="false" indent="2" shrinkToFit="false"/>
    </xf>
    <xf numFmtId="164" fontId="7" fillId="3" borderId="1" applyFont="true" applyBorder="true" applyAlignment="true" applyProtection="false">
      <alignment horizontal="left" vertical="center" textRotation="0" wrapText="true" indent="1" shrinkToFit="false"/>
    </xf>
    <xf numFmtId="164" fontId="8" fillId="3" borderId="2" applyFont="true" applyBorder="true" applyAlignment="true" applyProtection="false">
      <alignment horizontal="left" vertical="bottom" textRotation="0" wrapText="false" indent="1" shrinkToFit="false"/>
    </xf>
    <xf numFmtId="164" fontId="9" fillId="3" borderId="3" applyFont="true" applyBorder="true" applyAlignment="true" applyProtection="false">
      <alignment horizontal="left" vertical="top" textRotation="0" wrapText="true" indent="1" shrinkToFit="false"/>
    </xf>
    <xf numFmtId="164" fontId="10" fillId="2" borderId="0" applyFont="true" applyBorder="false" applyAlignment="true" applyProtection="false">
      <alignment horizontal="left" vertical="center" textRotation="0" wrapText="true" indent="1" shrinkToFit="false"/>
    </xf>
  </cellStyleXfs>
  <cellXfs count="32">
    <xf numFmtId="164" fontId="0" fillId="2" borderId="0" xfId="0" applyFont="false" applyBorder="false" applyAlignment="false" applyProtection="false">
      <alignment horizontal="left" vertical="center" textRotation="0" wrapText="true" indent="1" shrinkToFit="false"/>
      <protection locked="true" hidden="false"/>
    </xf>
    <xf numFmtId="164" fontId="0" fillId="2" borderId="0" xfId="0" applyFont="false" applyBorder="true" applyAlignment="true" applyProtection="false">
      <alignment horizontal="left" vertical="center" textRotation="0" wrapText="true" indent="1" shrinkToFit="false"/>
      <protection locked="true" hidden="false"/>
    </xf>
    <xf numFmtId="164" fontId="5" fillId="2" borderId="0" xfId="25" applyFont="true" applyBorder="true" applyAlignment="true" applyProtection="true">
      <alignment horizontal="left" vertical="top" textRotation="0" wrapText="false" indent="1" shrinkToFit="false"/>
      <protection locked="true" hidden="false"/>
    </xf>
    <xf numFmtId="164" fontId="6" fillId="2" borderId="0" xfId="26" applyFont="true" applyBorder="true" applyAlignment="true" applyProtection="true">
      <alignment horizontal="right" vertical="center" textRotation="0" wrapText="false" indent="2" shrinkToFit="false"/>
      <protection locked="true" hidden="false"/>
    </xf>
    <xf numFmtId="164" fontId="7" fillId="3" borderId="1" xfId="27" applyFont="true" applyBorder="true" applyAlignment="true" applyProtection="true">
      <alignment horizontal="left" vertical="center" textRotation="0" wrapText="true" indent="1" shrinkToFit="false"/>
      <protection locked="true" hidden="false"/>
    </xf>
    <xf numFmtId="164" fontId="6" fillId="2" borderId="0" xfId="26" applyFont="true" applyBorder="true" applyAlignment="true" applyProtection="true">
      <alignment horizontal="center" vertical="center" textRotation="0" wrapText="false" indent="0" shrinkToFit="false"/>
      <protection locked="true" hidden="false"/>
    </xf>
    <xf numFmtId="165" fontId="7" fillId="3" borderId="1" xfId="22" applyFont="true" applyBorder="true" applyAlignment="true" applyProtection="false">
      <alignment horizontal="left" vertical="center" textRotation="0" wrapText="false" indent="1" shrinkToFit="false"/>
      <protection locked="true" hidden="false"/>
    </xf>
    <xf numFmtId="164" fontId="8" fillId="3" borderId="2" xfId="28" applyFont="true" applyBorder="true" applyAlignment="true" applyProtection="true">
      <alignment horizontal="left" vertical="bottom" textRotation="0" wrapText="false" indent="1" shrinkToFit="false"/>
      <protection locked="true" hidden="false"/>
    </xf>
    <xf numFmtId="164" fontId="9" fillId="3" borderId="3" xfId="29" applyFont="true" applyBorder="true" applyAlignment="true" applyProtection="true">
      <alignment horizontal="left" vertical="top" textRotation="0" wrapText="true" indent="1" shrinkToFit="false"/>
      <protection locked="true" hidden="false"/>
    </xf>
    <xf numFmtId="164" fontId="10" fillId="2" borderId="0" xfId="30" applyFont="true" applyBorder="true" applyAlignment="true" applyProtection="true">
      <alignment horizontal="left" vertical="center" textRotation="0" wrapText="true" indent="1" shrinkToFit="false"/>
      <protection locked="true" hidden="false"/>
    </xf>
    <xf numFmtId="164" fontId="10" fillId="2" borderId="0" xfId="20" applyFont="true" applyBorder="true" applyAlignment="true" applyProtection="false">
      <alignment horizontal="center" vertical="center" textRotation="0" wrapText="true" indent="0" shrinkToFit="false"/>
      <protection locked="true" hidden="false"/>
    </xf>
    <xf numFmtId="166" fontId="0" fillId="2" borderId="0" xfId="23" applyFont="true" applyBorder="false" applyAlignment="true" applyProtection="false">
      <alignment horizontal="left" vertical="center" textRotation="0" wrapText="true" indent="1" shrinkToFit="false"/>
      <protection locked="true" hidden="false"/>
    </xf>
    <xf numFmtId="164" fontId="0" fillId="4" borderId="0" xfId="0" applyFont="true" applyBorder="false" applyAlignment="true" applyProtection="false">
      <alignment horizontal="left" vertical="center" textRotation="0" wrapText="true" indent="1" shrinkToFit="false"/>
      <protection locked="true" hidden="false"/>
    </xf>
    <xf numFmtId="165" fontId="0" fillId="4" borderId="0" xfId="21" applyFont="true" applyBorder="true" applyAlignment="true" applyProtection="false">
      <alignment horizontal="right" vertical="center" textRotation="0" wrapText="false" indent="1" shrinkToFit="false"/>
      <protection locked="true" hidden="false"/>
    </xf>
    <xf numFmtId="164" fontId="0" fillId="4" borderId="0" xfId="20" applyFont="true" applyBorder="true" applyAlignment="true" applyProtection="false">
      <alignment horizontal="center" vertical="center" textRotation="0" wrapText="true" indent="0" shrinkToFit="false"/>
      <protection locked="true" hidden="false"/>
    </xf>
    <xf numFmtId="166" fontId="0" fillId="4" borderId="0" xfId="23" applyFont="true" applyBorder="false" applyAlignment="true" applyProtection="false">
      <alignment horizontal="left" vertical="center" textRotation="0" wrapText="true" indent="3" shrinkToFit="false"/>
      <protection locked="true" hidden="false"/>
    </xf>
    <xf numFmtId="166" fontId="0" fillId="4" borderId="0" xfId="0" applyFont="false" applyBorder="false" applyAlignment="true" applyProtection="false">
      <alignment horizontal="left" vertical="center" textRotation="0" wrapText="true" indent="1" shrinkToFit="false"/>
      <protection locked="true" hidden="false"/>
    </xf>
    <xf numFmtId="165" fontId="0" fillId="2" borderId="0" xfId="21" applyFont="true" applyBorder="true" applyAlignment="true" applyProtection="false">
      <alignment horizontal="right" vertical="center" textRotation="0" wrapText="false" indent="1" shrinkToFit="false"/>
      <protection locked="true" hidden="false"/>
    </xf>
    <xf numFmtId="164" fontId="0" fillId="2" borderId="0" xfId="20" applyFont="true" applyBorder="true" applyAlignment="true" applyProtection="false">
      <alignment horizontal="center" vertical="center" textRotation="0" wrapText="true" indent="0" shrinkToFit="false"/>
      <protection locked="true" hidden="false"/>
    </xf>
    <xf numFmtId="166" fontId="0" fillId="2" borderId="0" xfId="23" applyFont="true" applyBorder="false" applyAlignment="true" applyProtection="false">
      <alignment horizontal="left" vertical="center" textRotation="0" wrapText="true" indent="3" shrinkToFit="false"/>
      <protection locked="true" hidden="false"/>
    </xf>
    <xf numFmtId="166" fontId="0" fillId="2" borderId="0" xfId="0" applyFont="true" applyBorder="false" applyAlignment="true" applyProtection="false">
      <alignment horizontal="left" vertical="center" textRotation="0" wrapText="true" indent="1" shrinkToFit="false"/>
      <protection locked="true" hidden="false"/>
    </xf>
    <xf numFmtId="164" fontId="11" fillId="4" borderId="0" xfId="0" applyFont="true" applyBorder="false" applyAlignment="true" applyProtection="false">
      <alignment horizontal="left" vertical="center" textRotation="0" wrapText="true" indent="1" shrinkToFit="false"/>
      <protection locked="true" hidden="false"/>
    </xf>
    <xf numFmtId="165" fontId="11" fillId="4" borderId="0" xfId="21" applyFont="true" applyBorder="true" applyAlignment="true" applyProtection="false">
      <alignment horizontal="right" vertical="center" textRotation="0" wrapText="false" indent="1" shrinkToFit="false"/>
      <protection locked="true" hidden="false"/>
    </xf>
    <xf numFmtId="164" fontId="11" fillId="4" borderId="0" xfId="20" applyFont="true" applyBorder="true" applyAlignment="true" applyProtection="false">
      <alignment horizontal="center" vertical="center" textRotation="0" wrapText="true" indent="0" shrinkToFit="false"/>
      <protection locked="true" hidden="false"/>
    </xf>
    <xf numFmtId="166" fontId="11" fillId="4" borderId="0" xfId="23" applyFont="true" applyBorder="false" applyAlignment="true" applyProtection="false">
      <alignment horizontal="left" vertical="center" textRotation="0" wrapText="true" indent="3" shrinkToFit="false"/>
      <protection locked="true" hidden="false"/>
    </xf>
    <xf numFmtId="166" fontId="11" fillId="4" borderId="0" xfId="0" applyFont="true" applyBorder="false" applyAlignment="true" applyProtection="false">
      <alignment horizontal="left" vertical="center" textRotation="0" wrapText="true" indent="1" shrinkToFit="false"/>
      <protection locked="true" hidden="false"/>
    </xf>
    <xf numFmtId="164" fontId="0" fillId="5" borderId="0" xfId="0" applyFont="true" applyBorder="false" applyAlignment="true" applyProtection="false">
      <alignment horizontal="left" vertical="center" textRotation="0" wrapText="true" indent="1" shrinkToFit="false"/>
      <protection locked="true" hidden="false"/>
    </xf>
    <xf numFmtId="165" fontId="0" fillId="5" borderId="0" xfId="21" applyFont="true" applyBorder="true" applyAlignment="true" applyProtection="false">
      <alignment horizontal="right" vertical="center" textRotation="0" wrapText="false" indent="1" shrinkToFit="false"/>
      <protection locked="true" hidden="false"/>
    </xf>
    <xf numFmtId="164" fontId="0" fillId="5" borderId="0" xfId="20" applyFont="true" applyBorder="true" applyAlignment="true" applyProtection="false">
      <alignment horizontal="center" vertical="center" textRotation="0" wrapText="true" indent="0" shrinkToFit="false"/>
      <protection locked="true" hidden="false"/>
    </xf>
    <xf numFmtId="166" fontId="0" fillId="5" borderId="0" xfId="23" applyFont="true" applyBorder="false" applyAlignment="true" applyProtection="false">
      <alignment horizontal="left" vertical="center" textRotation="0" wrapText="true" indent="3" shrinkToFit="false"/>
      <protection locked="true" hidden="false"/>
    </xf>
    <xf numFmtId="166" fontId="0" fillId="5" borderId="0" xfId="0" applyFont="false" applyBorder="false" applyAlignment="true" applyProtection="false">
      <alignment horizontal="left" vertical="center" textRotation="0" wrapText="true" indent="1" shrinkToFit="false"/>
      <protection locked="true" hidden="false"/>
    </xf>
    <xf numFmtId="166" fontId="0" fillId="2" borderId="0" xfId="23" applyFont="true" applyBorder="false" applyAlignment="true" applyProtection="false">
      <alignment horizontal="left" vertical="center" textRotation="0" wrapText="true" indent="2" shrinkToFit="false"/>
      <protection locked="true" hidden="false"/>
    </xf>
  </cellXfs>
  <cellStyles count="17">
    <cellStyle name="Normal" xfId="0" builtinId="0"/>
    <cellStyle name="Comma" xfId="15" builtinId="3"/>
    <cellStyle name="Comma [0]" xfId="16" builtinId="6"/>
    <cellStyle name="Currency" xfId="17" builtinId="4"/>
    <cellStyle name="Currency [0]" xfId="18" builtinId="7"/>
    <cellStyle name="Percent" xfId="19" builtinId="5"/>
    <cellStyle name="Center aligned" xfId="20"/>
    <cellStyle name="Due Date" xfId="21"/>
    <cellStyle name="Plan Due Date" xfId="22"/>
    <cellStyle name="Status Icon Text" xfId="23"/>
    <cellStyle name="Task Indicator" xfId="24"/>
    <cellStyle name="Excel Built-in Title" xfId="25"/>
    <cellStyle name="Excel Built-in Heading 2" xfId="26"/>
    <cellStyle name="Excel Built-in Heading 3" xfId="27"/>
    <cellStyle name="Excel Built-in Heading 1" xfId="28"/>
    <cellStyle name="Excel Built-in Explanatory Text" xfId="29"/>
    <cellStyle name="Excel Built-in Heading 4" xfId="30"/>
  </cellStyles>
  <dxfs count="18">
    <dxf>
      <fill>
        <patternFill patternType="solid">
          <fgColor rgb="FF5F539D"/>
          <bgColor rgb="FF000000"/>
        </patternFill>
      </fill>
    </dxf>
    <dxf>
      <fill>
        <patternFill patternType="solid">
          <fgColor rgb="FF8FAE2A"/>
          <bgColor rgb="FF000000"/>
        </patternFill>
      </fill>
    </dxf>
    <dxf>
      <fill>
        <patternFill patternType="solid">
          <fgColor rgb="FFD74F0C"/>
          <bgColor rgb="FF000000"/>
        </patternFill>
      </fill>
    </dxf>
    <dxf>
      <fill>
        <patternFill patternType="solid">
          <fgColor rgb="FFFFE366"/>
          <bgColor rgb="FF000000"/>
        </patternFill>
      </fill>
    </dxf>
    <dxf>
      <fill>
        <patternFill patternType="solid">
          <fgColor rgb="FF3F3768"/>
          <bgColor rgb="FF000000"/>
        </patternFill>
      </fill>
    </dxf>
    <dxf>
      <fill>
        <patternFill patternType="solid">
          <fgColor rgb="FFFFFFFF"/>
          <bgColor rgb="FF000000"/>
        </patternFill>
      </fill>
    </dxf>
    <dxf>
      <fill>
        <patternFill patternType="solid">
          <fgColor rgb="FFD8D8D8"/>
          <bgColor rgb="FF000000"/>
        </patternFill>
      </fill>
    </dxf>
    <dxf>
      <fill>
        <patternFill patternType="solid">
          <fgColor rgb="FFDCDCDC"/>
          <bgColor rgb="FF000000"/>
        </patternFill>
      </fill>
    </dxf>
    <dxf>
      <fill>
        <patternFill patternType="solid">
          <bgColor rgb="FF000000"/>
        </patternFill>
      </fill>
    </dxf>
    <dxf>
      <fill>
        <patternFill patternType="solid">
          <fgColor rgb="FF5F741C"/>
          <bgColor rgb="FF000000"/>
        </patternFill>
      </fill>
    </dxf>
    <dxf>
      <fill>
        <patternFill patternType="solid">
          <fgColor rgb="FF806800"/>
          <bgColor rgb="FF000000"/>
        </patternFill>
      </fill>
    </dxf>
    <dxf>
      <fill>
        <patternFill patternType="solid">
          <fgColor rgb="FF8F3508"/>
          <bgColor rgb="FF000000"/>
        </patternFill>
      </fill>
    </dxf>
    <dxf>
      <font>
        <color rgb="FF5F741C"/>
      </font>
      <fill>
        <patternFill/>
      </fill>
    </dxf>
    <dxf>
      <font>
        <color rgb="FF806800"/>
      </font>
    </dxf>
    <dxf>
      <font>
        <color rgb="FF8F3508"/>
      </font>
    </dxf>
    <dxf>
      <font>
        <color rgb="FF5F741C"/>
      </font>
      <fill>
        <patternFill/>
      </fill>
    </dxf>
    <dxf>
      <font>
        <color rgb="FF806800"/>
      </font>
    </dxf>
    <dxf>
      <font>
        <color rgb="FF8F3508"/>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6800"/>
      <rgbColor rgb="FF800080"/>
      <rgbColor rgb="FF008080"/>
      <rgbColor rgb="FFDCDCDC"/>
      <rgbColor rgb="FF5F741C"/>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F539D"/>
      <rgbColor rgb="FF8C82BD"/>
      <rgbColor rgb="FF003366"/>
      <rgbColor rgb="FF339966"/>
      <rgbColor rgb="FF003300"/>
      <rgbColor rgb="FF333300"/>
      <rgbColor rgb="FF8F3508"/>
      <rgbColor rgb="FF993366"/>
      <rgbColor rgb="FF3F3768"/>
      <rgbColor rgb="FF5050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133200</xdr:colOff>
      <xdr:row>0</xdr:row>
      <xdr:rowOff>66600</xdr:rowOff>
    </xdr:from>
    <xdr:to>
      <xdr:col>2</xdr:col>
      <xdr:colOff>294840</xdr:colOff>
      <xdr:row>0</xdr:row>
      <xdr:rowOff>428400</xdr:rowOff>
    </xdr:to>
    <xdr:pic>
      <xdr:nvPicPr>
        <xdr:cNvPr id="1" name="Picture 2" descr="Thought bubble graphic"/>
        <xdr:cNvPicPr/>
      </xdr:nvPicPr>
      <xdr:blipFill>
        <a:blip r:embed="rId1"/>
        <a:stretch/>
      </xdr:blipFill>
      <xdr:spPr>
        <a:xfrm>
          <a:off x="133200" y="66600"/>
          <a:ext cx="444960" cy="361800"/>
        </a:xfrm>
        <a:prstGeom prst="rect">
          <a:avLst/>
        </a:prstGeom>
        <a:noFill/>
        <a:ln w="0">
          <a:noFill/>
        </a:ln>
      </xdr:spPr>
    </xdr:pic>
    <xdr:clientData/>
  </xdr:twoCellAnchor>
</xdr:wsDr>
</file>

<file path=xl/tables/table1.xml><?xml version="1.0" encoding="utf-8"?>
<table xmlns="http://schemas.openxmlformats.org/spreadsheetml/2006/main" id="1" name="Tasks" displayName="Tasks" ref="B6:G102" headerRowCount="1" totalsRowCount="0" totalsRowShown="0">
  <autoFilter ref="B6:G102"/>
  <tableColumns count="6">
    <tableColumn id="1" name=" Task Status Indicator"/>
    <tableColumn id="2" name="Tasks"/>
    <tableColumn id="3" name="Due Date"/>
    <tableColumn id="4" name="Done?"/>
    <tableColumn id="5" name="Status Icon"/>
    <tableColumn id="6" name="Responsibility"/>
  </tableColumns>
</table>
</file>

<file path=xl/theme/theme1.xml><?xml version="1.0" encoding="utf-8"?>
<a:theme xmlns:a="http://schemas.openxmlformats.org/drawingml/2006/main" xmlns:r="http://schemas.openxmlformats.org/officeDocument/2006/relationships" name="Office Theme">
  <a:themeElements>
    <a:clrScheme name="Task Idea Planner">
      <a:dk1>
        <a:srgbClr val="000000"/>
      </a:dk1>
      <a:lt1>
        <a:srgbClr val="ffffff"/>
      </a:lt1>
      <a:dk2>
        <a:srgbClr val="505050"/>
      </a:dk2>
      <a:lt2>
        <a:srgbClr val="f0f0f0"/>
      </a:lt2>
      <a:accent1>
        <a:srgbClr val="8c82bd"/>
      </a:accent1>
      <a:accent2>
        <a:srgbClr val="f4783a"/>
      </a:accent2>
      <a:accent3>
        <a:srgbClr val="b4d44c"/>
      </a:accent3>
      <a:accent4>
        <a:srgbClr val="1ec7ff"/>
      </a:accent4>
      <a:accent5>
        <a:srgbClr val="ffd000"/>
      </a:accent5>
      <a:accent6>
        <a:srgbClr val="7991af"/>
      </a:accent6>
      <a:hlink>
        <a:srgbClr val="ffffff"/>
      </a:hlink>
      <a:folHlink>
        <a:srgbClr val="f2f2f2"/>
      </a:folHlink>
    </a:clrScheme>
    <a:fontScheme name="Calibri">
      <a:majorFont>
        <a:latin typeface="Calibri" panose="020F05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2BD"/>
    <pageSetUpPr fitToPage="true"/>
  </sheetPr>
  <dimension ref="B1:G1048576"/>
  <sheetViews>
    <sheetView showFormulas="false" showGridLines="false" showRowColHeaders="true" showZeros="true" rightToLeft="false" tabSelected="true" showOutlineSymbols="true" defaultGridColor="true" view="normal" topLeftCell="A6" colorId="64" zoomScale="100" zoomScaleNormal="100" zoomScalePageLayoutView="100" workbookViewId="0">
      <selection pane="topLeft" activeCell="C97" activeCellId="0" sqref="C97"/>
    </sheetView>
  </sheetViews>
  <sheetFormatPr defaultColWidth="8.73046875" defaultRowHeight="30" customHeight="true" zeroHeight="false" outlineLevelRow="0" outlineLevelCol="0"/>
  <cols>
    <col collapsed="false" customWidth="true" hidden="false" outlineLevel="0" max="1" min="1" style="0" width="2.54"/>
    <col collapsed="false" customWidth="true" hidden="false" outlineLevel="0" max="2" min="2" style="0" width="1"/>
    <col collapsed="false" customWidth="true" hidden="false" outlineLevel="0" max="3" min="3" style="0" width="42.54"/>
    <col collapsed="false" customWidth="true" hidden="false" outlineLevel="0" max="4" min="4" style="0" width="18.54"/>
    <col collapsed="false" customWidth="true" hidden="false" outlineLevel="0" max="5" min="5" style="0" width="22.54"/>
    <col collapsed="false" customWidth="true" hidden="false" outlineLevel="0" max="6" min="6" style="0" width="31"/>
    <col collapsed="false" customWidth="true" hidden="false" outlineLevel="0" max="7" min="7" style="0" width="43.45"/>
    <col collapsed="false" customWidth="true" hidden="false" outlineLevel="0" max="8" min="8" style="0" width="2.54"/>
  </cols>
  <sheetData>
    <row r="1" customFormat="false" ht="33.75" hidden="false" customHeight="true" outlineLevel="0" collapsed="false">
      <c r="B1" s="1"/>
      <c r="C1" s="1"/>
    </row>
    <row r="2" customFormat="false" ht="33" hidden="false" customHeight="true" outlineLevel="0" collapsed="false">
      <c r="B2" s="2" t="s">
        <v>0</v>
      </c>
      <c r="C2" s="2"/>
      <c r="D2" s="3" t="s">
        <v>1</v>
      </c>
      <c r="E2" s="4" t="s">
        <v>2</v>
      </c>
      <c r="F2" s="3"/>
      <c r="G2" s="3"/>
    </row>
    <row r="3" customFormat="false" ht="33" hidden="false" customHeight="true" outlineLevel="0" collapsed="false">
      <c r="B3" s="2"/>
      <c r="C3" s="2"/>
      <c r="D3" s="5" t="s">
        <v>3</v>
      </c>
      <c r="E3" s="6" t="n">
        <v>46185</v>
      </c>
      <c r="F3" s="3" t="s">
        <v>4</v>
      </c>
      <c r="G3" s="4" t="s">
        <v>5</v>
      </c>
    </row>
    <row r="4" customFormat="false" ht="28.5" hidden="false" customHeight="true" outlineLevel="0" collapsed="false">
      <c r="B4" s="7" t="s">
        <v>6</v>
      </c>
      <c r="C4" s="7"/>
      <c r="D4" s="7"/>
      <c r="E4" s="7" t="s">
        <v>7</v>
      </c>
      <c r="F4" s="7"/>
      <c r="G4" s="7"/>
    </row>
    <row r="5" customFormat="false" ht="75" hidden="false" customHeight="true" outlineLevel="0" collapsed="false">
      <c r="B5" s="8" t="s">
        <v>8</v>
      </c>
      <c r="C5" s="8"/>
      <c r="D5" s="8"/>
      <c r="E5" s="8" t="s">
        <v>9</v>
      </c>
      <c r="F5" s="8"/>
      <c r="G5" s="8"/>
    </row>
    <row r="6" customFormat="false" ht="49.5" hidden="false" customHeight="true" outlineLevel="0" collapsed="false">
      <c r="B6" s="9" t="s">
        <v>10</v>
      </c>
      <c r="C6" s="9" t="s">
        <v>11</v>
      </c>
      <c r="D6" s="10" t="s">
        <v>12</v>
      </c>
      <c r="E6" s="10" t="s">
        <v>13</v>
      </c>
      <c r="F6" s="10" t="s">
        <v>14</v>
      </c>
      <c r="G6" s="9" t="s">
        <v>15</v>
      </c>
    </row>
    <row r="7" customFormat="false" ht="30" hidden="false" customHeight="true" outlineLevel="0" collapsed="false">
      <c r="B7" s="11" t="str">
        <f aca="false">Tasks[[#This Row],[Status Icon]]</f>
        <v/>
      </c>
      <c r="C7" s="12" t="s">
        <v>16</v>
      </c>
      <c r="D7" s="13"/>
      <c r="E7" s="14"/>
      <c r="F7" s="15" t="str">
        <f aca="false">IFERROR(IF(ISBLANK(Tasks[[#This Row],[Due Date]]),"",IF(Tasks[[#This Row],[Done?]]="Yes",1,IF(OR(Tasks[[#This Row],[Due Date]]&gt;PlanDueDate,Tasks[[#This Row],[Done?]]="No"),-1,IF(OR(OR(Tasks[[#This Row],[Due Date]]=TODAY(),Tasks[[#This Row],[Due Date]]=PlanDueDate),Tasks[[#This Row],[Done?]]="Pending"),0,"")))),"")</f>
        <v/>
      </c>
      <c r="G7" s="16"/>
    </row>
    <row r="8" customFormat="false" ht="30" hidden="false" customHeight="true" outlineLevel="0" collapsed="false">
      <c r="B8" s="11" t="n">
        <f aca="false">Tasks[[#This Row],[Status Icon]]</f>
        <v>1</v>
      </c>
      <c r="C8" s="0" t="s">
        <v>17</v>
      </c>
      <c r="D8" s="17" t="n">
        <v>46063</v>
      </c>
      <c r="E8" s="18" t="s">
        <v>18</v>
      </c>
      <c r="F8" s="19" t="n">
        <f aca="false">IFERROR(IF(ISBLANK(Tasks[[#This Row],[Due Date]]),"",IF(Tasks[[#This Row],[Done?]]="Yes",1,IF(OR(Tasks[[#This Row],[Due Date]]&gt;PlanDueDate,Tasks[[#This Row],[Done?]]="No"),-1,IF(OR(OR(Tasks[[#This Row],[Due Date]]=TODAY(),Tasks[[#This Row],[Due Date]]=PlanDueDate),Tasks[[#This Row],[Done?]]="Pending"),0,"")))),"")</f>
        <v>1</v>
      </c>
      <c r="G8" s="20" t="s">
        <v>19</v>
      </c>
    </row>
    <row r="9" customFormat="false" ht="30" hidden="false" customHeight="true" outlineLevel="0" collapsed="false">
      <c r="B9" s="11" t="n">
        <f aca="false">Tasks[[#This Row],[Status Icon]]</f>
        <v>1</v>
      </c>
      <c r="C9" s="0" t="s">
        <v>20</v>
      </c>
      <c r="D9" s="17" t="n">
        <v>46063</v>
      </c>
      <c r="E9" s="18" t="s">
        <v>18</v>
      </c>
      <c r="F9" s="19" t="n">
        <f aca="false">IFERROR(IF(ISBLANK(Tasks[[#This Row],[Due Date]]),"",IF(Tasks[[#This Row],[Done?]]="Yes",1,IF(OR(Tasks[[#This Row],[Due Date]]&gt;PlanDueDate,Tasks[[#This Row],[Done?]]="No"),-1,IF(OR(OR(Tasks[[#This Row],[Due Date]]=TODAY(),Tasks[[#This Row],[Due Date]]=PlanDueDate),Tasks[[#This Row],[Done?]]="Pending"),0,"")))),"")</f>
        <v>1</v>
      </c>
      <c r="G9" s="20" t="s">
        <v>19</v>
      </c>
    </row>
    <row r="10" customFormat="false" ht="30" hidden="false" customHeight="true" outlineLevel="0" collapsed="false">
      <c r="B10" s="11" t="n">
        <f aca="false">Tasks[[#This Row],[Status Icon]]</f>
        <v>1</v>
      </c>
      <c r="C10" s="0" t="s">
        <v>21</v>
      </c>
      <c r="D10" s="17" t="n">
        <v>46063</v>
      </c>
      <c r="E10" s="18" t="s">
        <v>18</v>
      </c>
      <c r="F10" s="19" t="n">
        <f aca="false">IFERROR(IF(ISBLANK(Tasks[[#This Row],[Due Date]]),"",IF(Tasks[[#This Row],[Done?]]="Yes",1,IF(OR(Tasks[[#This Row],[Due Date]]&gt;PlanDueDate,Tasks[[#This Row],[Done?]]="No"),-1,IF(OR(OR(Tasks[[#This Row],[Due Date]]=TODAY(),Tasks[[#This Row],[Due Date]]=PlanDueDate),Tasks[[#This Row],[Done?]]="Pending"),0,"")))),"")</f>
        <v>1</v>
      </c>
      <c r="G10" s="20" t="s">
        <v>19</v>
      </c>
    </row>
    <row r="11" customFormat="false" ht="30" hidden="false" customHeight="true" outlineLevel="0" collapsed="false">
      <c r="B11" s="19" t="n">
        <f aca="false">Tasks[[#This Row],[Status Icon]]</f>
        <v>1</v>
      </c>
      <c r="C11" s="0" t="s">
        <v>22</v>
      </c>
      <c r="D11" s="17" t="n">
        <v>46063</v>
      </c>
      <c r="E11" s="18" t="s">
        <v>18</v>
      </c>
      <c r="F11" s="19" t="n">
        <f aca="false">IFERROR(IF(ISBLANK(Tasks[[#This Row],[Due Date]]),"",IF(Tasks[[#This Row],[Done?]]="Yes",1,IF(OR(Tasks[[#This Row],[Due Date]]&gt;PlanDueDate,Tasks[[#This Row],[Done?]]="No"),-1,IF(OR(OR(Tasks[[#This Row],[Due Date]]=TODAY(),Tasks[[#This Row],[Due Date]]=PlanDueDate),Tasks[[#This Row],[Done?]]="Pending"),0,"")))),"")</f>
        <v>1</v>
      </c>
      <c r="G11" s="20" t="s">
        <v>23</v>
      </c>
    </row>
    <row r="12" customFormat="false" ht="30" hidden="false" customHeight="true" outlineLevel="0" collapsed="false">
      <c r="B12" s="19" t="str">
        <f aca="false">Tasks[[#This Row],[Status Icon]]</f>
        <v/>
      </c>
      <c r="C12" s="21" t="s">
        <v>24</v>
      </c>
      <c r="D12" s="22"/>
      <c r="E12" s="23"/>
      <c r="F12" s="24" t="str">
        <f aca="false">IFERROR(IF(ISBLANK(Tasks[[#This Row],[Due Date]]),"",IF(Tasks[[#This Row],[Done?]]="Yes",1,IF(OR(Tasks[[#This Row],[Due Date]]&gt;PlanDueDate,Tasks[[#This Row],[Done?]]="No"),-1,IF(OR(OR(Tasks[[#This Row],[Due Date]]=TODAY(),Tasks[[#This Row],[Due Date]]=PlanDueDate),Tasks[[#This Row],[Done?]]="Pending"),0,"")))),"")</f>
        <v/>
      </c>
      <c r="G12" s="25"/>
    </row>
    <row r="13" customFormat="false" ht="30" hidden="false" customHeight="true" outlineLevel="0" collapsed="false">
      <c r="B13" s="19" t="n">
        <f aca="false">Tasks[[#This Row],[Status Icon]]</f>
        <v>1</v>
      </c>
      <c r="C13" s="0" t="s">
        <v>25</v>
      </c>
      <c r="D13" s="17" t="n">
        <v>46079</v>
      </c>
      <c r="E13" s="18" t="s">
        <v>18</v>
      </c>
      <c r="F13" s="19" t="n">
        <f aca="false">IFERROR(IF(ISBLANK(Tasks[[#This Row],[Due Date]]),"",IF(Tasks[[#This Row],[Done?]]="Yes",1,IF(OR(Tasks[[#This Row],[Due Date]]&gt;PlanDueDate,Tasks[[#This Row],[Done?]]="No"),-1,IF(OR(OR(Tasks[[#This Row],[Due Date]]=TODAY(),Tasks[[#This Row],[Due Date]]=PlanDueDate),Tasks[[#This Row],[Done?]]="Pending"),0,"")))),"")</f>
        <v>1</v>
      </c>
      <c r="G13" s="20" t="s">
        <v>19</v>
      </c>
    </row>
    <row r="14" customFormat="false" ht="30" hidden="false" customHeight="true" outlineLevel="0" collapsed="false">
      <c r="B14" s="19" t="n">
        <f aca="false">Tasks[[#This Row],[Status Icon]]</f>
        <v>1</v>
      </c>
      <c r="C14" s="0" t="s">
        <v>26</v>
      </c>
      <c r="D14" s="17" t="n">
        <v>46079</v>
      </c>
      <c r="E14" s="18" t="s">
        <v>18</v>
      </c>
      <c r="F14" s="19" t="n">
        <f aca="false">IFERROR(IF(ISBLANK(Tasks[[#This Row],[Due Date]]),"",IF(Tasks[[#This Row],[Done?]]="Yes",1,IF(OR(Tasks[[#This Row],[Due Date]]&gt;PlanDueDate,Tasks[[#This Row],[Done?]]="No"),-1,IF(OR(OR(Tasks[[#This Row],[Due Date]]=TODAY(),Tasks[[#This Row],[Due Date]]=PlanDueDate),Tasks[[#This Row],[Done?]]="Pending"),0,"")))),"")</f>
        <v>1</v>
      </c>
      <c r="G14" s="20" t="s">
        <v>19</v>
      </c>
    </row>
    <row r="15" customFormat="false" ht="30" hidden="false" customHeight="true" outlineLevel="0" collapsed="false">
      <c r="B15" s="19" t="n">
        <f aca="false">Tasks[[#This Row],[Status Icon]]</f>
        <v>1</v>
      </c>
      <c r="C15" s="0" t="s">
        <v>27</v>
      </c>
      <c r="D15" s="17" t="n">
        <v>46079</v>
      </c>
      <c r="E15" s="18" t="s">
        <v>18</v>
      </c>
      <c r="F15" s="19" t="n">
        <f aca="false">IFERROR(IF(ISBLANK(Tasks[[#This Row],[Due Date]]),"",IF(Tasks[[#This Row],[Done?]]="Yes",1,IF(OR(Tasks[[#This Row],[Due Date]]&gt;PlanDueDate,Tasks[[#This Row],[Done?]]="No"),-1,IF(OR(OR(Tasks[[#This Row],[Due Date]]=TODAY(),Tasks[[#This Row],[Due Date]]=PlanDueDate),Tasks[[#This Row],[Done?]]="Pending"),0,"")))),"")</f>
        <v>1</v>
      </c>
      <c r="G15" s="20" t="s">
        <v>23</v>
      </c>
    </row>
    <row r="16" customFormat="false" ht="30" hidden="false" customHeight="true" outlineLevel="0" collapsed="false">
      <c r="B16" s="19" t="n">
        <f aca="false">Tasks[[#This Row],[Status Icon]]</f>
        <v>1</v>
      </c>
      <c r="C16" s="0" t="s">
        <v>28</v>
      </c>
      <c r="D16" s="17" t="n">
        <v>46079</v>
      </c>
      <c r="E16" s="18" t="s">
        <v>18</v>
      </c>
      <c r="F16" s="19" t="n">
        <f aca="false">IFERROR(IF(ISBLANK(Tasks[[#This Row],[Due Date]]),"",IF(Tasks[[#This Row],[Done?]]="Yes",1,IF(OR(Tasks[[#This Row],[Due Date]]&gt;PlanDueDate,Tasks[[#This Row],[Done?]]="No"),-1,IF(OR(OR(Tasks[[#This Row],[Due Date]]=TODAY(),Tasks[[#This Row],[Due Date]]=PlanDueDate),Tasks[[#This Row],[Done?]]="Pending"),0,"")))),"")</f>
        <v>1</v>
      </c>
      <c r="G16" s="20" t="s">
        <v>23</v>
      </c>
    </row>
    <row r="17" customFormat="false" ht="30" hidden="false" customHeight="true" outlineLevel="0" collapsed="false">
      <c r="B17" s="19" t="n">
        <f aca="false">Tasks[[#This Row],[Status Icon]]</f>
        <v>1</v>
      </c>
      <c r="C17" s="0" t="s">
        <v>29</v>
      </c>
      <c r="D17" s="17" t="n">
        <v>46079</v>
      </c>
      <c r="E17" s="18" t="s">
        <v>18</v>
      </c>
      <c r="F17" s="19" t="n">
        <f aca="false">IFERROR(IF(ISBLANK(Tasks[[#This Row],[Due Date]]),"",IF(Tasks[[#This Row],[Done?]]="Yes",1,IF(OR(Tasks[[#This Row],[Due Date]]&gt;PlanDueDate,Tasks[[#This Row],[Done?]]="No"),-1,IF(OR(OR(Tasks[[#This Row],[Due Date]]=TODAY(),Tasks[[#This Row],[Due Date]]=PlanDueDate),Tasks[[#This Row],[Done?]]="Pending"),0,"")))),"")</f>
        <v>1</v>
      </c>
      <c r="G17" s="20" t="s">
        <v>30</v>
      </c>
    </row>
    <row r="18" customFormat="false" ht="30" hidden="false" customHeight="true" outlineLevel="0" collapsed="false">
      <c r="B18" s="19" t="str">
        <f aca="false">Tasks[[#This Row],[Status Icon]]</f>
        <v/>
      </c>
      <c r="C18" s="26" t="s">
        <v>31</v>
      </c>
      <c r="D18" s="27"/>
      <c r="E18" s="28"/>
      <c r="F18" s="29" t="str">
        <f aca="false">IFERROR(IF(ISBLANK(Tasks[[#This Row],[Due Date]]),"",IF(Tasks[[#This Row],[Done?]]="Yes",1,IF(OR(Tasks[[#This Row],[Due Date]]&gt;PlanDueDate,Tasks[[#This Row],[Done?]]="No"),-1,IF(OR(OR(Tasks[[#This Row],[Due Date]]=TODAY(),Tasks[[#This Row],[Due Date]]=PlanDueDate),Tasks[[#This Row],[Done?]]="Pending"),0,"")))),"")</f>
        <v/>
      </c>
      <c r="G18" s="30"/>
    </row>
    <row r="19" customFormat="false" ht="30" hidden="false" customHeight="true" outlineLevel="0" collapsed="false">
      <c r="B19" s="19" t="n">
        <f aca="false">Tasks[[#This Row],[Status Icon]]</f>
        <v>1</v>
      </c>
      <c r="C19" s="0" t="s">
        <v>32</v>
      </c>
      <c r="D19" s="17" t="n">
        <v>46086</v>
      </c>
      <c r="E19" s="18" t="s">
        <v>18</v>
      </c>
      <c r="F19" s="19" t="n">
        <f aca="false">IFERROR(IF(ISBLANK(Tasks[[#This Row],[Due Date]]),"",IF(Tasks[[#This Row],[Done?]]="Yes",1,IF(OR(Tasks[[#This Row],[Due Date]]&gt;PlanDueDate,Tasks[[#This Row],[Done?]]="No"),-1,IF(OR(OR(Tasks[[#This Row],[Due Date]]=TODAY(),Tasks[[#This Row],[Due Date]]=PlanDueDate),Tasks[[#This Row],[Done?]]="Pending"),0,"")))),"")</f>
        <v>1</v>
      </c>
      <c r="G19" s="20" t="s">
        <v>19</v>
      </c>
    </row>
    <row r="20" customFormat="false" ht="30" hidden="false" customHeight="true" outlineLevel="0" collapsed="false">
      <c r="B20" s="19" t="n">
        <f aca="false">Tasks[[#This Row],[Status Icon]]</f>
        <v>1</v>
      </c>
      <c r="C20" s="0" t="s">
        <v>33</v>
      </c>
      <c r="D20" s="17" t="n">
        <v>46086</v>
      </c>
      <c r="E20" s="18" t="s">
        <v>18</v>
      </c>
      <c r="F20" s="19" t="n">
        <f aca="false">IFERROR(IF(ISBLANK(Tasks[[#This Row],[Due Date]]),"",IF(Tasks[[#This Row],[Done?]]="Yes",1,IF(OR(Tasks[[#This Row],[Due Date]]&gt;PlanDueDate,Tasks[[#This Row],[Done?]]="No"),-1,IF(OR(OR(Tasks[[#This Row],[Due Date]]=TODAY(),Tasks[[#This Row],[Due Date]]=PlanDueDate),Tasks[[#This Row],[Done?]]="Pending"),0,"")))),"")</f>
        <v>1</v>
      </c>
      <c r="G20" s="20" t="s">
        <v>23</v>
      </c>
    </row>
    <row r="21" customFormat="false" ht="30" hidden="false" customHeight="true" outlineLevel="0" collapsed="false">
      <c r="B21" s="19" t="n">
        <f aca="false">Tasks[[#This Row],[Status Icon]]</f>
        <v>1</v>
      </c>
      <c r="C21" s="0" t="s">
        <v>34</v>
      </c>
      <c r="D21" s="17" t="n">
        <v>46086</v>
      </c>
      <c r="E21" s="18" t="s">
        <v>18</v>
      </c>
      <c r="F21" s="19" t="n">
        <f aca="false">IFERROR(IF(ISBLANK(Tasks[[#This Row],[Due Date]]),"",IF(Tasks[[#This Row],[Done?]]="Yes",1,IF(OR(Tasks[[#This Row],[Due Date]]&gt;PlanDueDate,Tasks[[#This Row],[Done?]]="No"),-1,IF(OR(OR(Tasks[[#This Row],[Due Date]]=TODAY(),Tasks[[#This Row],[Due Date]]=PlanDueDate),Tasks[[#This Row],[Done?]]="Pending"),0,"")))),"")</f>
        <v>1</v>
      </c>
      <c r="G21" s="20" t="s">
        <v>23</v>
      </c>
    </row>
    <row r="22" customFormat="false" ht="30" hidden="false" customHeight="true" outlineLevel="0" collapsed="false">
      <c r="B22" s="19" t="n">
        <f aca="false">Tasks[[#This Row],[Status Icon]]</f>
        <v>1</v>
      </c>
      <c r="C22" s="0" t="s">
        <v>35</v>
      </c>
      <c r="D22" s="17" t="n">
        <v>46086</v>
      </c>
      <c r="E22" s="18" t="s">
        <v>18</v>
      </c>
      <c r="F22" s="19" t="n">
        <f aca="false">IFERROR(IF(ISBLANK(Tasks[[#This Row],[Due Date]]),"",IF(Tasks[[#This Row],[Done?]]="Yes",1,IF(OR(Tasks[[#This Row],[Due Date]]&gt;PlanDueDate,Tasks[[#This Row],[Done?]]="No"),-1,IF(OR(OR(Tasks[[#This Row],[Due Date]]=TODAY(),Tasks[[#This Row],[Due Date]]=PlanDueDate),Tasks[[#This Row],[Done?]]="Pending"),0,"")))),"")</f>
        <v>1</v>
      </c>
      <c r="G22" s="20" t="s">
        <v>23</v>
      </c>
    </row>
    <row r="23" customFormat="false" ht="30" hidden="false" customHeight="true" outlineLevel="0" collapsed="false">
      <c r="B23" s="19" t="n">
        <f aca="false">Tasks[[#This Row],[Status Icon]]</f>
        <v>1</v>
      </c>
      <c r="C23" s="0" t="s">
        <v>36</v>
      </c>
      <c r="D23" s="17" t="n">
        <v>46086</v>
      </c>
      <c r="E23" s="18" t="s">
        <v>18</v>
      </c>
      <c r="F23" s="19" t="n">
        <f aca="false">IFERROR(IF(ISBLANK(Tasks[[#This Row],[Due Date]]),"",IF(Tasks[[#This Row],[Done?]]="Yes",1,IF(OR(Tasks[[#This Row],[Due Date]]&gt;PlanDueDate,Tasks[[#This Row],[Done?]]="No"),-1,IF(OR(OR(Tasks[[#This Row],[Due Date]]=TODAY(),Tasks[[#This Row],[Due Date]]=PlanDueDate),Tasks[[#This Row],[Done?]]="Pending"),0,"")))),"")</f>
        <v>1</v>
      </c>
      <c r="G23" s="20" t="s">
        <v>19</v>
      </c>
    </row>
    <row r="24" customFormat="false" ht="30" hidden="false" customHeight="true" outlineLevel="0" collapsed="false">
      <c r="B24" s="19" t="n">
        <f aca="false">Tasks[[#This Row],[Status Icon]]</f>
        <v>0</v>
      </c>
      <c r="C24" s="0" t="s">
        <v>37</v>
      </c>
      <c r="D24" s="17" t="n">
        <v>46086</v>
      </c>
      <c r="E24" s="18" t="s">
        <v>38</v>
      </c>
      <c r="F24" s="19" t="n">
        <f aca="false">IFERROR(IF(ISBLANK(Tasks[[#This Row],[Due Date]]),"",IF(Tasks[[#This Row],[Done?]]="Yes",1,IF(OR(Tasks[[#This Row],[Due Date]]&gt;PlanDueDate,Tasks[[#This Row],[Done?]]="No"),-1,IF(OR(OR(Tasks[[#This Row],[Due Date]]=TODAY(),Tasks[[#This Row],[Due Date]]=PlanDueDate),Tasks[[#This Row],[Done?]]="Pending"),0,"")))),"")</f>
        <v>0</v>
      </c>
      <c r="G24" s="20" t="s">
        <v>30</v>
      </c>
    </row>
    <row r="25" customFormat="false" ht="30" hidden="false" customHeight="true" outlineLevel="0" collapsed="false">
      <c r="B25" s="19" t="n">
        <f aca="false">Tasks[[#This Row],[Status Icon]]</f>
        <v>0</v>
      </c>
      <c r="C25" s="0" t="s">
        <v>39</v>
      </c>
      <c r="D25" s="17" t="n">
        <v>46086</v>
      </c>
      <c r="E25" s="18" t="s">
        <v>38</v>
      </c>
      <c r="F25" s="19" t="n">
        <f aca="false">IFERROR(IF(ISBLANK(Tasks[[#This Row],[Due Date]]),"",IF(Tasks[[#This Row],[Done?]]="Yes",1,IF(OR(Tasks[[#This Row],[Due Date]]&gt;PlanDueDate,Tasks[[#This Row],[Done?]]="No"),-1,IF(OR(OR(Tasks[[#This Row],[Due Date]]=TODAY(),Tasks[[#This Row],[Due Date]]=PlanDueDate),Tasks[[#This Row],[Done?]]="Pending"),0,"")))),"")</f>
        <v>0</v>
      </c>
      <c r="G25" s="20" t="s">
        <v>30</v>
      </c>
    </row>
    <row r="26" customFormat="false" ht="30" hidden="false" customHeight="true" outlineLevel="0" collapsed="false">
      <c r="B26" s="19" t="str">
        <f aca="false">Tasks[[#This Row],[Status Icon]]</f>
        <v/>
      </c>
      <c r="C26" s="26" t="s">
        <v>40</v>
      </c>
      <c r="D26" s="27"/>
      <c r="E26" s="28"/>
      <c r="F26" s="29" t="str">
        <f aca="false">IFERROR(IF(ISBLANK(Tasks[[#This Row],[Due Date]]),"",IF(Tasks[[#This Row],[Done?]]="Yes",1,IF(OR(Tasks[[#This Row],[Due Date]]&gt;PlanDueDate,Tasks[[#This Row],[Done?]]="No"),-1,IF(OR(OR(Tasks[[#This Row],[Due Date]]=TODAY(),Tasks[[#This Row],[Due Date]]=PlanDueDate),Tasks[[#This Row],[Done?]]="Pending"),0,"")))),"")</f>
        <v/>
      </c>
      <c r="G26" s="29"/>
    </row>
    <row r="27" customFormat="false" ht="30" hidden="false" customHeight="true" outlineLevel="0" collapsed="false">
      <c r="B27" s="19" t="n">
        <f aca="false">Tasks[[#This Row],[Status Icon]]</f>
        <v>0</v>
      </c>
      <c r="C27" s="0" t="s">
        <v>41</v>
      </c>
      <c r="D27" s="17" t="n">
        <v>46093</v>
      </c>
      <c r="E27" s="18" t="s">
        <v>38</v>
      </c>
      <c r="F27" s="19" t="n">
        <f aca="false">IFERROR(IF(ISBLANK(Tasks[[#This Row],[Due Date]]),"",IF(Tasks[[#This Row],[Done?]]="Yes",1,IF(OR(Tasks[[#This Row],[Due Date]]&gt;PlanDueDate,Tasks[[#This Row],[Done?]]="No"),-1,IF(OR(OR(Tasks[[#This Row],[Due Date]]=TODAY(),Tasks[[#This Row],[Due Date]]=PlanDueDate),Tasks[[#This Row],[Done?]]="Pending"),0,"")))),"")</f>
        <v>0</v>
      </c>
      <c r="G27" s="31" t="s">
        <v>19</v>
      </c>
    </row>
    <row r="28" customFormat="false" ht="30" hidden="false" customHeight="true" outlineLevel="0" collapsed="false">
      <c r="B28" s="19" t="n">
        <f aca="false">Tasks[[#This Row],[Status Icon]]</f>
        <v>0</v>
      </c>
      <c r="C28" s="0" t="s">
        <v>42</v>
      </c>
      <c r="D28" s="17" t="n">
        <v>46093</v>
      </c>
      <c r="E28" s="18" t="s">
        <v>38</v>
      </c>
      <c r="F28" s="19" t="n">
        <f aca="false">IFERROR(IF(ISBLANK(Tasks[[#This Row],[Due Date]]),"",IF(Tasks[[#This Row],[Done?]]="Yes",1,IF(OR(Tasks[[#This Row],[Due Date]]&gt;PlanDueDate,Tasks[[#This Row],[Done?]]="No"),-1,IF(OR(OR(Tasks[[#This Row],[Due Date]]=TODAY(),Tasks[[#This Row],[Due Date]]=PlanDueDate),Tasks[[#This Row],[Done?]]="Pending"),0,"")))),"")</f>
        <v>0</v>
      </c>
      <c r="G28" s="19" t="s">
        <v>30</v>
      </c>
    </row>
    <row r="29" customFormat="false" ht="30" hidden="false" customHeight="true" outlineLevel="0" collapsed="false">
      <c r="B29" s="19" t="str">
        <f aca="false">Tasks[[#This Row],[Status Icon]]</f>
        <v/>
      </c>
      <c r="C29" s="26" t="s">
        <v>43</v>
      </c>
      <c r="D29" s="27"/>
      <c r="E29" s="28"/>
      <c r="F29" s="29" t="str">
        <f aca="false">IFERROR(IF(ISBLANK(Tasks[[#This Row],[Due Date]]),"",IF(Tasks[[#This Row],[Done?]]="Yes",1,IF(OR(Tasks[[#This Row],[Due Date]]&gt;PlanDueDate,Tasks[[#This Row],[Done?]]="No"),-1,IF(OR(OR(Tasks[[#This Row],[Due Date]]=TODAY(),Tasks[[#This Row],[Due Date]]=PlanDueDate),Tasks[[#This Row],[Done?]]="Pending"),0,"")))),"")</f>
        <v/>
      </c>
      <c r="G29" s="29"/>
    </row>
    <row r="30" customFormat="false" ht="30" hidden="false" customHeight="true" outlineLevel="0" collapsed="false">
      <c r="B30" s="19" t="n">
        <f aca="false">Tasks[[#This Row],[Status Icon]]</f>
        <v>-1</v>
      </c>
      <c r="C30" s="0" t="s">
        <v>44</v>
      </c>
      <c r="D30" s="17" t="n">
        <v>46093</v>
      </c>
      <c r="E30" s="18" t="s">
        <v>45</v>
      </c>
      <c r="F30" s="19" t="n">
        <f aca="false">IFERROR(IF(ISBLANK(Tasks[[#This Row],[Due Date]]),"",IF(Tasks[[#This Row],[Done?]]="Yes",1,IF(OR(Tasks[[#This Row],[Due Date]]&gt;PlanDueDate,Tasks[[#This Row],[Done?]]="No"),-1,IF(OR(OR(Tasks[[#This Row],[Due Date]]=TODAY(),Tasks[[#This Row],[Due Date]]=PlanDueDate),Tasks[[#This Row],[Done?]]="Pending"),0,"")))),"")</f>
        <v>-1</v>
      </c>
      <c r="G30" s="19" t="s">
        <v>23</v>
      </c>
    </row>
    <row r="31" customFormat="false" ht="30" hidden="false" customHeight="true" outlineLevel="0" collapsed="false">
      <c r="B31" s="19" t="str">
        <f aca="false">Tasks[[#This Row],[Status Icon]]</f>
        <v/>
      </c>
      <c r="C31" s="12" t="s">
        <v>46</v>
      </c>
      <c r="D31" s="13"/>
      <c r="E31" s="14"/>
      <c r="F31" s="15" t="str">
        <f aca="false">IFERROR(IF(ISBLANK(Tasks[[#This Row],[Due Date]]),"",IF(Tasks[[#This Row],[Done?]]="Yes",1,IF(OR(Tasks[[#This Row],[Due Date]]&gt;PlanDueDate,Tasks[[#This Row],[Done?]]="No"),-1,IF(OR(OR(Tasks[[#This Row],[Due Date]]=TODAY(),Tasks[[#This Row],[Due Date]]=PlanDueDate),Tasks[[#This Row],[Done?]]="Pending"),0,"")))),"")</f>
        <v/>
      </c>
      <c r="G31" s="15"/>
    </row>
    <row r="32" customFormat="false" ht="30" hidden="false" customHeight="true" outlineLevel="0" collapsed="false">
      <c r="B32" s="19" t="n">
        <f aca="false">Tasks[[#This Row],[Status Icon]]</f>
        <v>-1</v>
      </c>
      <c r="C32" s="0" t="s">
        <v>47</v>
      </c>
      <c r="D32" s="17" t="n">
        <v>46100</v>
      </c>
      <c r="E32" s="18" t="s">
        <v>45</v>
      </c>
      <c r="F32" s="19" t="n">
        <f aca="false">IFERROR(IF(ISBLANK(Tasks[[#This Row],[Due Date]]),"",IF(Tasks[[#This Row],[Done?]]="Yes",1,IF(OR(Tasks[[#This Row],[Due Date]]&gt;PlanDueDate,Tasks[[#This Row],[Done?]]="No"),-1,IF(OR(OR(Tasks[[#This Row],[Due Date]]=TODAY(),Tasks[[#This Row],[Due Date]]=PlanDueDate),Tasks[[#This Row],[Done?]]="Pending"),0,"")))),"")</f>
        <v>-1</v>
      </c>
      <c r="G32" s="19" t="s">
        <v>19</v>
      </c>
    </row>
    <row r="33" customFormat="false" ht="30" hidden="false" customHeight="true" outlineLevel="0" collapsed="false">
      <c r="B33" s="19" t="n">
        <f aca="false">Tasks[[#This Row],[Status Icon]]</f>
        <v>-1</v>
      </c>
      <c r="C33" s="0" t="s">
        <v>48</v>
      </c>
      <c r="D33" s="17" t="n">
        <v>46100</v>
      </c>
      <c r="E33" s="18" t="s">
        <v>45</v>
      </c>
      <c r="F33" s="19" t="n">
        <f aca="false">IFERROR(IF(ISBLANK(Tasks[[#This Row],[Due Date]]),"",IF(Tasks[[#This Row],[Done?]]="Yes",1,IF(OR(Tasks[[#This Row],[Due Date]]&gt;PlanDueDate,Tasks[[#This Row],[Done?]]="No"),-1,IF(OR(OR(Tasks[[#This Row],[Due Date]]=TODAY(),Tasks[[#This Row],[Due Date]]=PlanDueDate),Tasks[[#This Row],[Done?]]="Pending"),0,"")))),"")</f>
        <v>-1</v>
      </c>
      <c r="G33" s="19" t="s">
        <v>23</v>
      </c>
    </row>
    <row r="34" customFormat="false" ht="30" hidden="false" customHeight="true" outlineLevel="0" collapsed="false">
      <c r="B34" s="19" t="n">
        <f aca="false">Tasks[[#This Row],[Status Icon]]</f>
        <v>-1</v>
      </c>
      <c r="C34" s="0" t="s">
        <v>49</v>
      </c>
      <c r="D34" s="17" t="n">
        <v>46100</v>
      </c>
      <c r="E34" s="18" t="s">
        <v>45</v>
      </c>
      <c r="F34" s="19" t="n">
        <f aca="false">IFERROR(IF(ISBLANK(Tasks[[#This Row],[Due Date]]),"",IF(Tasks[[#This Row],[Done?]]="Yes",1,IF(OR(Tasks[[#This Row],[Due Date]]&gt;PlanDueDate,Tasks[[#This Row],[Done?]]="No"),-1,IF(OR(OR(Tasks[[#This Row],[Due Date]]=TODAY(),Tasks[[#This Row],[Due Date]]=PlanDueDate),Tasks[[#This Row],[Done?]]="Pending"),0,"")))),"")</f>
        <v>-1</v>
      </c>
      <c r="G34" s="19" t="s">
        <v>23</v>
      </c>
    </row>
    <row r="35" customFormat="false" ht="30" hidden="false" customHeight="true" outlineLevel="0" collapsed="false">
      <c r="B35" s="19" t="n">
        <f aca="false">Tasks[[#This Row],[Status Icon]]</f>
        <v>-1</v>
      </c>
      <c r="C35" s="0" t="s">
        <v>50</v>
      </c>
      <c r="D35" s="17" t="n">
        <v>46100</v>
      </c>
      <c r="E35" s="18" t="s">
        <v>45</v>
      </c>
      <c r="F35" s="19" t="n">
        <f aca="false">IFERROR(IF(ISBLANK(Tasks[[#This Row],[Due Date]]),"",IF(Tasks[[#This Row],[Done?]]="Yes",1,IF(OR(Tasks[[#This Row],[Due Date]]&gt;PlanDueDate,Tasks[[#This Row],[Done?]]="No"),-1,IF(OR(OR(Tasks[[#This Row],[Due Date]]=TODAY(),Tasks[[#This Row],[Due Date]]=PlanDueDate),Tasks[[#This Row],[Done?]]="Pending"),0,"")))),"")</f>
        <v>-1</v>
      </c>
      <c r="G35" s="19" t="s">
        <v>19</v>
      </c>
    </row>
    <row r="36" customFormat="false" ht="30" hidden="false" customHeight="true" outlineLevel="0" collapsed="false">
      <c r="B36" s="19" t="str">
        <f aca="false">Tasks[[#This Row],[Status Icon]]</f>
        <v/>
      </c>
      <c r="C36" s="12" t="s">
        <v>51</v>
      </c>
      <c r="D36" s="13"/>
      <c r="E36" s="14"/>
      <c r="F36" s="15" t="str">
        <f aca="false">IFERROR(IF(ISBLANK(Tasks[[#This Row],[Due Date]]),"",IF(Tasks[[#This Row],[Done?]]="Yes",1,IF(OR(Tasks[[#This Row],[Due Date]]&gt;PlanDueDate,Tasks[[#This Row],[Done?]]="No"),-1,IF(OR(OR(Tasks[[#This Row],[Due Date]]=TODAY(),Tasks[[#This Row],[Due Date]]=PlanDueDate),Tasks[[#This Row],[Done?]]="Pending"),0,"")))),"")</f>
        <v/>
      </c>
      <c r="G36" s="16"/>
    </row>
    <row r="37" customFormat="false" ht="30" hidden="false" customHeight="true" outlineLevel="0" collapsed="false">
      <c r="B37" s="19" t="n">
        <f aca="false">Tasks[[#This Row],[Status Icon]]</f>
        <v>-1</v>
      </c>
      <c r="C37" s="0" t="s">
        <v>52</v>
      </c>
      <c r="D37" s="17" t="n">
        <v>46107</v>
      </c>
      <c r="E37" s="18" t="s">
        <v>45</v>
      </c>
      <c r="F37" s="19" t="n">
        <f aca="false">IFERROR(IF(ISBLANK(Tasks[[#This Row],[Due Date]]),"",IF(Tasks[[#This Row],[Done?]]="Yes",1,IF(OR(Tasks[[#This Row],[Due Date]]&gt;PlanDueDate,Tasks[[#This Row],[Done?]]="No"),-1,IF(OR(OR(Tasks[[#This Row],[Due Date]]=TODAY(),Tasks[[#This Row],[Due Date]]=PlanDueDate),Tasks[[#This Row],[Done?]]="Pending"),0,"")))),"")</f>
        <v>-1</v>
      </c>
      <c r="G37" s="20" t="s">
        <v>19</v>
      </c>
    </row>
    <row r="38" customFormat="false" ht="30" hidden="false" customHeight="true" outlineLevel="0" collapsed="false">
      <c r="B38" s="19" t="n">
        <f aca="false">Tasks[[#This Row],[Status Icon]]</f>
        <v>-1</v>
      </c>
      <c r="C38" s="0" t="s">
        <v>53</v>
      </c>
      <c r="D38" s="17" t="n">
        <v>46107</v>
      </c>
      <c r="E38" s="18" t="s">
        <v>45</v>
      </c>
      <c r="F38" s="19" t="n">
        <f aca="false">IFERROR(IF(ISBLANK(Tasks[[#This Row],[Due Date]]),"",IF(Tasks[[#This Row],[Done?]]="Yes",1,IF(OR(Tasks[[#This Row],[Due Date]]&gt;PlanDueDate,Tasks[[#This Row],[Done?]]="No"),-1,IF(OR(OR(Tasks[[#This Row],[Due Date]]=TODAY(),Tasks[[#This Row],[Due Date]]=PlanDueDate),Tasks[[#This Row],[Done?]]="Pending"),0,"")))),"")</f>
        <v>-1</v>
      </c>
      <c r="G38" s="20" t="s">
        <v>19</v>
      </c>
    </row>
    <row r="39" customFormat="false" ht="30" hidden="false" customHeight="true" outlineLevel="0" collapsed="false">
      <c r="B39" s="19" t="n">
        <f aca="false">Tasks[[#This Row],[Status Icon]]</f>
        <v>-1</v>
      </c>
      <c r="C39" s="0" t="s">
        <v>54</v>
      </c>
      <c r="D39" s="17" t="n">
        <v>46107</v>
      </c>
      <c r="E39" s="18" t="s">
        <v>45</v>
      </c>
      <c r="F39" s="19" t="n">
        <f aca="false">IFERROR(IF(ISBLANK(Tasks[[#This Row],[Due Date]]),"",IF(Tasks[[#This Row],[Done?]]="Yes",1,IF(OR(Tasks[[#This Row],[Due Date]]&gt;PlanDueDate,Tasks[[#This Row],[Done?]]="No"),-1,IF(OR(OR(Tasks[[#This Row],[Due Date]]=TODAY(),Tasks[[#This Row],[Due Date]]=PlanDueDate),Tasks[[#This Row],[Done?]]="Pending"),0,"")))),"")</f>
        <v>-1</v>
      </c>
      <c r="G39" s="20" t="s">
        <v>19</v>
      </c>
    </row>
    <row r="40" customFormat="false" ht="30" hidden="false" customHeight="true" outlineLevel="0" collapsed="false">
      <c r="B40" s="19" t="str">
        <f aca="false">Tasks[[#This Row],[Status Icon]]</f>
        <v/>
      </c>
      <c r="C40" s="12" t="s">
        <v>55</v>
      </c>
      <c r="D40" s="13"/>
      <c r="E40" s="14"/>
      <c r="F40" s="15" t="str">
        <f aca="false">IFERROR(IF(ISBLANK(Tasks[[#This Row],[Due Date]]),"",IF(Tasks[[#This Row],[Done?]]="Yes",1,IF(OR(Tasks[[#This Row],[Due Date]]&gt;PlanDueDate,Tasks[[#This Row],[Done?]]="No"),-1,IF(OR(OR(Tasks[[#This Row],[Due Date]]=TODAY(),Tasks[[#This Row],[Due Date]]=PlanDueDate),Tasks[[#This Row],[Done?]]="Pending"),0,"")))),"")</f>
        <v/>
      </c>
      <c r="G40" s="16"/>
    </row>
    <row r="41" customFormat="false" ht="30" hidden="false" customHeight="true" outlineLevel="0" collapsed="false">
      <c r="B41" s="19" t="n">
        <f aca="false">Tasks[[#This Row],[Status Icon]]</f>
        <v>-1</v>
      </c>
      <c r="C41" s="0" t="s">
        <v>56</v>
      </c>
      <c r="D41" s="17" t="n">
        <v>46107</v>
      </c>
      <c r="E41" s="18" t="s">
        <v>45</v>
      </c>
      <c r="F41" s="19" t="n">
        <f aca="false">IFERROR(IF(ISBLANK(Tasks[[#This Row],[Due Date]]),"",IF(Tasks[[#This Row],[Done?]]="Yes",1,IF(OR(Tasks[[#This Row],[Due Date]]&gt;PlanDueDate,Tasks[[#This Row],[Done?]]="No"),-1,IF(OR(OR(Tasks[[#This Row],[Due Date]]=TODAY(),Tasks[[#This Row],[Due Date]]=PlanDueDate),Tasks[[#This Row],[Done?]]="Pending"),0,"")))),"")</f>
        <v>-1</v>
      </c>
      <c r="G41" s="20" t="s">
        <v>19</v>
      </c>
    </row>
    <row r="42" customFormat="false" ht="30" hidden="false" customHeight="true" outlineLevel="0" collapsed="false">
      <c r="B42" s="19" t="n">
        <f aca="false">Tasks[[#This Row],[Status Icon]]</f>
        <v>-1</v>
      </c>
      <c r="C42" s="0" t="s">
        <v>57</v>
      </c>
      <c r="D42" s="17" t="n">
        <v>46107</v>
      </c>
      <c r="E42" s="18" t="s">
        <v>45</v>
      </c>
      <c r="F42" s="19" t="n">
        <f aca="false">IFERROR(IF(ISBLANK(Tasks[[#This Row],[Due Date]]),"",IF(Tasks[[#This Row],[Done?]]="Yes",1,IF(OR(Tasks[[#This Row],[Due Date]]&gt;PlanDueDate,Tasks[[#This Row],[Done?]]="No"),-1,IF(OR(OR(Tasks[[#This Row],[Due Date]]=TODAY(),Tasks[[#This Row],[Due Date]]=PlanDueDate),Tasks[[#This Row],[Done?]]="Pending"),0,"")))),"")</f>
        <v>-1</v>
      </c>
      <c r="G42" s="20" t="s">
        <v>19</v>
      </c>
    </row>
    <row r="43" customFormat="false" ht="30" hidden="false" customHeight="true" outlineLevel="0" collapsed="false">
      <c r="B43" s="19" t="n">
        <f aca="false">Tasks[[#This Row],[Status Icon]]</f>
        <v>-1</v>
      </c>
      <c r="C43" s="0" t="s">
        <v>58</v>
      </c>
      <c r="D43" s="17" t="n">
        <v>46107</v>
      </c>
      <c r="E43" s="18" t="s">
        <v>45</v>
      </c>
      <c r="F43" s="19" t="n">
        <f aca="false">IFERROR(IF(ISBLANK(Tasks[[#This Row],[Due Date]]),"",IF(Tasks[[#This Row],[Done?]]="Yes",1,IF(OR(Tasks[[#This Row],[Due Date]]&gt;PlanDueDate,Tasks[[#This Row],[Done?]]="No"),-1,IF(OR(OR(Tasks[[#This Row],[Due Date]]=TODAY(),Tasks[[#This Row],[Due Date]]=PlanDueDate),Tasks[[#This Row],[Done?]]="Pending"),0,"")))),"")</f>
        <v>-1</v>
      </c>
      <c r="G43" s="20" t="s">
        <v>19</v>
      </c>
    </row>
    <row r="44" customFormat="false" ht="30" hidden="false" customHeight="true" outlineLevel="0" collapsed="false">
      <c r="B44" s="19" t="n">
        <f aca="false">Tasks[[#This Row],[Status Icon]]</f>
        <v>-1</v>
      </c>
      <c r="C44" s="0" t="s">
        <v>59</v>
      </c>
      <c r="D44" s="17" t="n">
        <v>46112</v>
      </c>
      <c r="E44" s="18" t="s">
        <v>45</v>
      </c>
      <c r="F44" s="19" t="n">
        <f aca="false">IFERROR(IF(ISBLANK(Tasks[[#This Row],[Due Date]]),"",IF(Tasks[[#This Row],[Done?]]="Yes",1,IF(OR(Tasks[[#This Row],[Due Date]]&gt;PlanDueDate,Tasks[[#This Row],[Done?]]="No"),-1,IF(OR(OR(Tasks[[#This Row],[Due Date]]=TODAY(),Tasks[[#This Row],[Due Date]]=PlanDueDate),Tasks[[#This Row],[Done?]]="Pending"),0,"")))),"")</f>
        <v>-1</v>
      </c>
      <c r="G44" s="20" t="s">
        <v>19</v>
      </c>
    </row>
    <row r="45" customFormat="false" ht="30" hidden="false" customHeight="true" outlineLevel="0" collapsed="false">
      <c r="B45" s="19" t="n">
        <f aca="false">Tasks[[#This Row],[Status Icon]]</f>
        <v>-1</v>
      </c>
      <c r="C45" s="0" t="s">
        <v>60</v>
      </c>
      <c r="D45" s="17" t="n">
        <v>46112</v>
      </c>
      <c r="E45" s="18" t="s">
        <v>45</v>
      </c>
      <c r="F45" s="19" t="n">
        <f aca="false">IFERROR(IF(ISBLANK(Tasks[[#This Row],[Due Date]]),"",IF(Tasks[[#This Row],[Done?]]="Yes",1,IF(OR(Tasks[[#This Row],[Due Date]]&gt;PlanDueDate,Tasks[[#This Row],[Done?]]="No"),-1,IF(OR(OR(Tasks[[#This Row],[Due Date]]=TODAY(),Tasks[[#This Row],[Due Date]]=PlanDueDate),Tasks[[#This Row],[Done?]]="Pending"),0,"")))),"")</f>
        <v>-1</v>
      </c>
      <c r="G45" s="20" t="s">
        <v>19</v>
      </c>
    </row>
    <row r="46" customFormat="false" ht="30" hidden="false" customHeight="true" outlineLevel="0" collapsed="false">
      <c r="B46" s="19" t="str">
        <f aca="false">Tasks[[#This Row],[Status Icon]]</f>
        <v/>
      </c>
      <c r="C46" s="26" t="s">
        <v>61</v>
      </c>
      <c r="D46" s="27"/>
      <c r="E46" s="28"/>
      <c r="F46" s="29" t="str">
        <f aca="false">IFERROR(IF(ISBLANK(Tasks[[#This Row],[Due Date]]),"",IF(Tasks[[#This Row],[Done?]]="Yes",1,IF(OR(Tasks[[#This Row],[Due Date]]&gt;PlanDueDate,Tasks[[#This Row],[Done?]]="No"),-1,IF(OR(OR(Tasks[[#This Row],[Due Date]]=TODAY(),Tasks[[#This Row],[Due Date]]=PlanDueDate),Tasks[[#This Row],[Done?]]="Pending"),0,"")))),"")</f>
        <v/>
      </c>
      <c r="G46" s="30"/>
    </row>
    <row r="47" customFormat="false" ht="30" hidden="false" customHeight="true" outlineLevel="0" collapsed="false">
      <c r="B47" s="19" t="n">
        <f aca="false">Tasks[[#This Row],[Status Icon]]</f>
        <v>-1</v>
      </c>
      <c r="C47" s="0" t="s">
        <v>62</v>
      </c>
      <c r="D47" s="17" t="n">
        <v>46107</v>
      </c>
      <c r="E47" s="18" t="s">
        <v>45</v>
      </c>
      <c r="F47" s="19" t="n">
        <f aca="false">IFERROR(IF(ISBLANK(Tasks[[#This Row],[Due Date]]),"",IF(Tasks[[#This Row],[Done?]]="Yes",1,IF(OR(Tasks[[#This Row],[Due Date]]&gt;PlanDueDate,Tasks[[#This Row],[Done?]]="No"),-1,IF(OR(OR(Tasks[[#This Row],[Due Date]]=TODAY(),Tasks[[#This Row],[Due Date]]=PlanDueDate),Tasks[[#This Row],[Done?]]="Pending"),0,"")))),"")</f>
        <v>-1</v>
      </c>
      <c r="G47" s="20" t="s">
        <v>23</v>
      </c>
    </row>
    <row r="48" customFormat="false" ht="30" hidden="false" customHeight="true" outlineLevel="0" collapsed="false">
      <c r="B48" s="19" t="n">
        <f aca="false">Tasks[[#This Row],[Status Icon]]</f>
        <v>-1</v>
      </c>
      <c r="C48" s="0" t="s">
        <v>63</v>
      </c>
      <c r="D48" s="17" t="n">
        <v>46107</v>
      </c>
      <c r="E48" s="18" t="s">
        <v>45</v>
      </c>
      <c r="F48" s="19" t="n">
        <f aca="false">IFERROR(IF(ISBLANK(Tasks[[#This Row],[Due Date]]),"",IF(Tasks[[#This Row],[Done?]]="Yes",1,IF(OR(Tasks[[#This Row],[Due Date]]&gt;PlanDueDate,Tasks[[#This Row],[Done?]]="No"),-1,IF(OR(OR(Tasks[[#This Row],[Due Date]]=TODAY(),Tasks[[#This Row],[Due Date]]=PlanDueDate),Tasks[[#This Row],[Done?]]="Pending"),0,"")))),"")</f>
        <v>-1</v>
      </c>
      <c r="G48" s="20" t="s">
        <v>23</v>
      </c>
    </row>
    <row r="49" customFormat="false" ht="30" hidden="false" customHeight="true" outlineLevel="0" collapsed="false">
      <c r="B49" s="19" t="n">
        <f aca="false">Tasks[[#This Row],[Status Icon]]</f>
        <v>-1</v>
      </c>
      <c r="C49" s="0" t="s">
        <v>64</v>
      </c>
      <c r="D49" s="17" t="n">
        <v>46112</v>
      </c>
      <c r="E49" s="18" t="s">
        <v>45</v>
      </c>
      <c r="F49" s="19" t="n">
        <f aca="false">IFERROR(IF(ISBLANK(Tasks[[#This Row],[Due Date]]),"",IF(Tasks[[#This Row],[Done?]]="Yes",1,IF(OR(Tasks[[#This Row],[Due Date]]&gt;PlanDueDate,Tasks[[#This Row],[Done?]]="No"),-1,IF(OR(OR(Tasks[[#This Row],[Due Date]]=TODAY(),Tasks[[#This Row],[Due Date]]=PlanDueDate),Tasks[[#This Row],[Done?]]="Pending"),0,"")))),"")</f>
        <v>-1</v>
      </c>
      <c r="G49" s="20" t="s">
        <v>23</v>
      </c>
    </row>
    <row r="50" customFormat="false" ht="30" hidden="false" customHeight="true" outlineLevel="0" collapsed="false">
      <c r="B50" s="19" t="n">
        <f aca="false">Tasks[[#This Row],[Status Icon]]</f>
        <v>-1</v>
      </c>
      <c r="C50" s="0" t="s">
        <v>65</v>
      </c>
      <c r="D50" s="17" t="n">
        <v>46112</v>
      </c>
      <c r="E50" s="18" t="s">
        <v>45</v>
      </c>
      <c r="F50" s="19" t="n">
        <f aca="false">IFERROR(IF(ISBLANK(Tasks[[#This Row],[Due Date]]),"",IF(Tasks[[#This Row],[Done?]]="Yes",1,IF(OR(Tasks[[#This Row],[Due Date]]&gt;PlanDueDate,Tasks[[#This Row],[Done?]]="No"),-1,IF(OR(OR(Tasks[[#This Row],[Due Date]]=TODAY(),Tasks[[#This Row],[Due Date]]=PlanDueDate),Tasks[[#This Row],[Done?]]="Pending"),0,"")))),"")</f>
        <v>-1</v>
      </c>
      <c r="G50" s="20" t="s">
        <v>23</v>
      </c>
    </row>
    <row r="51" customFormat="false" ht="30" hidden="false" customHeight="true" outlineLevel="0" collapsed="false">
      <c r="B51" s="19" t="n">
        <f aca="false">Tasks[[#This Row],[Status Icon]]</f>
        <v>-1</v>
      </c>
      <c r="C51" s="0" t="s">
        <v>66</v>
      </c>
      <c r="D51" s="17" t="n">
        <v>46135</v>
      </c>
      <c r="E51" s="18" t="s">
        <v>45</v>
      </c>
      <c r="F51" s="19" t="n">
        <f aca="false">IFERROR(IF(ISBLANK(Tasks[[#This Row],[Due Date]]),"",IF(Tasks[[#This Row],[Done?]]="Yes",1,IF(OR(Tasks[[#This Row],[Due Date]]&gt;PlanDueDate,Tasks[[#This Row],[Done?]]="No"),-1,IF(OR(OR(Tasks[[#This Row],[Due Date]]=TODAY(),Tasks[[#This Row],[Due Date]]=PlanDueDate),Tasks[[#This Row],[Done?]]="Pending"),0,"")))),"")</f>
        <v>-1</v>
      </c>
      <c r="G51" s="20" t="s">
        <v>19</v>
      </c>
    </row>
    <row r="52" customFormat="false" ht="30" hidden="false" customHeight="true" outlineLevel="0" collapsed="false">
      <c r="B52" s="19" t="n">
        <f aca="false">Tasks[[#This Row],[Status Icon]]</f>
        <v>-1</v>
      </c>
      <c r="C52" s="0" t="s">
        <v>67</v>
      </c>
      <c r="D52" s="17" t="n">
        <v>46135</v>
      </c>
      <c r="E52" s="18" t="s">
        <v>45</v>
      </c>
      <c r="F52" s="19" t="n">
        <f aca="false">IFERROR(IF(ISBLANK(Tasks[[#This Row],[Due Date]]),"",IF(Tasks[[#This Row],[Done?]]="Yes",1,IF(OR(Tasks[[#This Row],[Due Date]]&gt;PlanDueDate,Tasks[[#This Row],[Done?]]="No"),-1,IF(OR(OR(Tasks[[#This Row],[Due Date]]=TODAY(),Tasks[[#This Row],[Due Date]]=PlanDueDate),Tasks[[#This Row],[Done?]]="Pending"),0,"")))),"")</f>
        <v>-1</v>
      </c>
      <c r="G52" s="20" t="s">
        <v>19</v>
      </c>
    </row>
    <row r="53" customFormat="false" ht="30" hidden="false" customHeight="true" outlineLevel="0" collapsed="false">
      <c r="B53" s="19" t="n">
        <f aca="false">Tasks[[#This Row],[Status Icon]]</f>
        <v>-1</v>
      </c>
      <c r="C53" s="0" t="s">
        <v>68</v>
      </c>
      <c r="D53" s="17" t="n">
        <v>46135</v>
      </c>
      <c r="E53" s="18" t="s">
        <v>45</v>
      </c>
      <c r="F53" s="19" t="n">
        <f aca="false">IFERROR(IF(ISBLANK(Tasks[[#This Row],[Due Date]]),"",IF(Tasks[[#This Row],[Done?]]="Yes",1,IF(OR(Tasks[[#This Row],[Due Date]]&gt;PlanDueDate,Tasks[[#This Row],[Done?]]="No"),-1,IF(OR(OR(Tasks[[#This Row],[Due Date]]=TODAY(),Tasks[[#This Row],[Due Date]]=PlanDueDate),Tasks[[#This Row],[Done?]]="Pending"),0,"")))),"")</f>
        <v>-1</v>
      </c>
      <c r="G53" s="20" t="s">
        <v>19</v>
      </c>
    </row>
    <row r="54" customFormat="false" ht="30" hidden="false" customHeight="true" outlineLevel="0" collapsed="false">
      <c r="B54" s="19" t="n">
        <f aca="false">Tasks[[#This Row],[Status Icon]]</f>
        <v>-1</v>
      </c>
      <c r="C54" s="0" t="s">
        <v>69</v>
      </c>
      <c r="D54" s="17" t="n">
        <v>46135</v>
      </c>
      <c r="E54" s="18" t="s">
        <v>45</v>
      </c>
      <c r="F54" s="19" t="n">
        <f aca="false">IFERROR(IF(ISBLANK(Tasks[[#This Row],[Due Date]]),"",IF(Tasks[[#This Row],[Done?]]="Yes",1,IF(OR(Tasks[[#This Row],[Due Date]]&gt;PlanDueDate,Tasks[[#This Row],[Done?]]="No"),-1,IF(OR(OR(Tasks[[#This Row],[Due Date]]=TODAY(),Tasks[[#This Row],[Due Date]]=PlanDueDate),Tasks[[#This Row],[Done?]]="Pending"),0,"")))),"")</f>
        <v>-1</v>
      </c>
      <c r="G54" s="20" t="s">
        <v>19</v>
      </c>
    </row>
    <row r="55" customFormat="false" ht="30" hidden="false" customHeight="true" outlineLevel="0" collapsed="false">
      <c r="B55" s="19" t="n">
        <f aca="false">Tasks[[#This Row],[Status Icon]]</f>
        <v>-1</v>
      </c>
      <c r="C55" s="0" t="s">
        <v>70</v>
      </c>
      <c r="D55" s="17" t="n">
        <v>46111</v>
      </c>
      <c r="E55" s="18" t="s">
        <v>45</v>
      </c>
      <c r="F55" s="19" t="n">
        <f aca="false">IFERROR(IF(ISBLANK(Tasks[[#This Row],[Due Date]]),"",IF(Tasks[[#This Row],[Done?]]="Yes",1,IF(OR(Tasks[[#This Row],[Due Date]]&gt;PlanDueDate,Tasks[[#This Row],[Done?]]="No"),-1,IF(OR(OR(Tasks[[#This Row],[Due Date]]=TODAY(),Tasks[[#This Row],[Due Date]]=PlanDueDate),Tasks[[#This Row],[Done?]]="Pending"),0,"")))),"")</f>
        <v>-1</v>
      </c>
      <c r="G55" s="20" t="s">
        <v>23</v>
      </c>
    </row>
    <row r="56" customFormat="false" ht="30" hidden="false" customHeight="true" outlineLevel="0" collapsed="false">
      <c r="B56" s="19" t="str">
        <f aca="false">Tasks[[#This Row],[Status Icon]]</f>
        <v/>
      </c>
      <c r="C56" s="26" t="s">
        <v>71</v>
      </c>
      <c r="D56" s="27"/>
      <c r="E56" s="28"/>
      <c r="F56" s="29" t="str">
        <f aca="false">IFERROR(IF(ISBLANK(Tasks[[#This Row],[Due Date]]),"",IF(Tasks[[#This Row],[Done?]]="Yes",1,IF(OR(Tasks[[#This Row],[Due Date]]&gt;PlanDueDate,Tasks[[#This Row],[Done?]]="No"),-1,IF(OR(OR(Tasks[[#This Row],[Due Date]]=TODAY(),Tasks[[#This Row],[Due Date]]=PlanDueDate),Tasks[[#This Row],[Done?]]="Pending"),0,"")))),"")</f>
        <v/>
      </c>
      <c r="G56" s="30"/>
    </row>
    <row r="57" customFormat="false" ht="30" hidden="false" customHeight="true" outlineLevel="0" collapsed="false">
      <c r="B57" s="19" t="n">
        <f aca="false">Tasks[[#This Row],[Status Icon]]</f>
        <v>-1</v>
      </c>
      <c r="C57" s="0" t="s">
        <v>72</v>
      </c>
      <c r="D57" s="17" t="n">
        <v>46111</v>
      </c>
      <c r="E57" s="18" t="s">
        <v>45</v>
      </c>
      <c r="F57" s="19" t="n">
        <f aca="false">IFERROR(IF(ISBLANK(Tasks[[#This Row],[Due Date]]),"",IF(Tasks[[#This Row],[Done?]]="Yes",1,IF(OR(Tasks[[#This Row],[Due Date]]&gt;PlanDueDate,Tasks[[#This Row],[Done?]]="No"),-1,IF(OR(OR(Tasks[[#This Row],[Due Date]]=TODAY(),Tasks[[#This Row],[Due Date]]=PlanDueDate),Tasks[[#This Row],[Done?]]="Pending"),0,"")))),"")</f>
        <v>-1</v>
      </c>
      <c r="G57" s="20" t="s">
        <v>19</v>
      </c>
    </row>
    <row r="58" customFormat="false" ht="30" hidden="false" customHeight="true" outlineLevel="0" collapsed="false">
      <c r="B58" s="19" t="n">
        <f aca="false">Tasks[[#This Row],[Status Icon]]</f>
        <v>-1</v>
      </c>
      <c r="C58" s="0" t="s">
        <v>73</v>
      </c>
      <c r="D58" s="17" t="n">
        <v>46111</v>
      </c>
      <c r="E58" s="18" t="s">
        <v>45</v>
      </c>
      <c r="F58" s="19" t="n">
        <f aca="false">IFERROR(IF(ISBLANK(Tasks[[#This Row],[Due Date]]),"",IF(Tasks[[#This Row],[Done?]]="Yes",1,IF(OR(Tasks[[#This Row],[Due Date]]&gt;PlanDueDate,Tasks[[#This Row],[Done?]]="No"),-1,IF(OR(OR(Tasks[[#This Row],[Due Date]]=TODAY(),Tasks[[#This Row],[Due Date]]=PlanDueDate),Tasks[[#This Row],[Done?]]="Pending"),0,"")))),"")</f>
        <v>-1</v>
      </c>
      <c r="G58" s="20" t="s">
        <v>19</v>
      </c>
    </row>
    <row r="59" customFormat="false" ht="30" hidden="false" customHeight="true" outlineLevel="0" collapsed="false">
      <c r="B59" s="19" t="n">
        <f aca="false">Tasks[[#This Row],[Status Icon]]</f>
        <v>-1</v>
      </c>
      <c r="C59" s="0" t="s">
        <v>74</v>
      </c>
      <c r="D59" s="17" t="n">
        <v>46111</v>
      </c>
      <c r="E59" s="18" t="s">
        <v>45</v>
      </c>
      <c r="F59" s="19" t="n">
        <f aca="false">IFERROR(IF(ISBLANK(Tasks[[#This Row],[Due Date]]),"",IF(Tasks[[#This Row],[Done?]]="Yes",1,IF(OR(Tasks[[#This Row],[Due Date]]&gt;PlanDueDate,Tasks[[#This Row],[Done?]]="No"),-1,IF(OR(OR(Tasks[[#This Row],[Due Date]]=TODAY(),Tasks[[#This Row],[Due Date]]=PlanDueDate),Tasks[[#This Row],[Done?]]="Pending"),0,"")))),"")</f>
        <v>-1</v>
      </c>
      <c r="G59" s="20" t="s">
        <v>19</v>
      </c>
    </row>
    <row r="60" customFormat="false" ht="30" hidden="false" customHeight="true" outlineLevel="0" collapsed="false">
      <c r="B60" s="19" t="n">
        <f aca="false">Tasks[[#This Row],[Status Icon]]</f>
        <v>-1</v>
      </c>
      <c r="C60" s="0" t="s">
        <v>75</v>
      </c>
      <c r="D60" s="17" t="n">
        <v>46111</v>
      </c>
      <c r="E60" s="18" t="s">
        <v>45</v>
      </c>
      <c r="F60" s="19" t="n">
        <f aca="false">IFERROR(IF(ISBLANK(Tasks[[#This Row],[Due Date]]),"",IF(Tasks[[#This Row],[Done?]]="Yes",1,IF(OR(Tasks[[#This Row],[Due Date]]&gt;PlanDueDate,Tasks[[#This Row],[Done?]]="No"),-1,IF(OR(OR(Tasks[[#This Row],[Due Date]]=TODAY(),Tasks[[#This Row],[Due Date]]=PlanDueDate),Tasks[[#This Row],[Done?]]="Pending"),0,"")))),"")</f>
        <v>-1</v>
      </c>
      <c r="G60" s="20" t="s">
        <v>19</v>
      </c>
    </row>
    <row r="61" customFormat="false" ht="30" hidden="false" customHeight="true" outlineLevel="0" collapsed="false">
      <c r="B61" s="19" t="str">
        <f aca="false">Tasks[[#This Row],[Status Icon]]</f>
        <v/>
      </c>
      <c r="C61" s="26" t="s">
        <v>76</v>
      </c>
      <c r="D61" s="27"/>
      <c r="E61" s="28"/>
      <c r="F61" s="29" t="str">
        <f aca="false">IFERROR(IF(ISBLANK(Tasks[[#This Row],[Due Date]]),"",IF(Tasks[[#This Row],[Done?]]="Yes",1,IF(OR(Tasks[[#This Row],[Due Date]]&gt;PlanDueDate,Tasks[[#This Row],[Done?]]="No"),-1,IF(OR(OR(Tasks[[#This Row],[Due Date]]=TODAY(),Tasks[[#This Row],[Due Date]]=PlanDueDate),Tasks[[#This Row],[Done?]]="Pending"),0,"")))),"")</f>
        <v/>
      </c>
      <c r="G61" s="30"/>
    </row>
    <row r="62" customFormat="false" ht="30" hidden="false" customHeight="true" outlineLevel="0" collapsed="false">
      <c r="B62" s="19" t="n">
        <f aca="false">Tasks[[#This Row],[Status Icon]]</f>
        <v>-1</v>
      </c>
      <c r="C62" s="0" t="s">
        <v>77</v>
      </c>
      <c r="D62" s="17" t="n">
        <v>46111</v>
      </c>
      <c r="E62" s="18" t="s">
        <v>45</v>
      </c>
      <c r="F62" s="19" t="n">
        <f aca="false">IFERROR(IF(ISBLANK(Tasks[[#This Row],[Due Date]]),"",IF(Tasks[[#This Row],[Done?]]="Yes",1,IF(OR(Tasks[[#This Row],[Due Date]]&gt;PlanDueDate,Tasks[[#This Row],[Done?]]="No"),-1,IF(OR(OR(Tasks[[#This Row],[Due Date]]=TODAY(),Tasks[[#This Row],[Due Date]]=PlanDueDate),Tasks[[#This Row],[Done?]]="Pending"),0,"")))),"")</f>
        <v>-1</v>
      </c>
      <c r="G62" s="20" t="s">
        <v>23</v>
      </c>
    </row>
    <row r="63" customFormat="false" ht="30" hidden="false" customHeight="true" outlineLevel="0" collapsed="false">
      <c r="B63" s="19" t="n">
        <f aca="false">Tasks[[#This Row],[Status Icon]]</f>
        <v>-1</v>
      </c>
      <c r="C63" s="0" t="s">
        <v>78</v>
      </c>
      <c r="D63" s="17" t="n">
        <v>46111</v>
      </c>
      <c r="E63" s="18" t="s">
        <v>45</v>
      </c>
      <c r="F63" s="19" t="n">
        <f aca="false">IFERROR(IF(ISBLANK(Tasks[[#This Row],[Due Date]]),"",IF(Tasks[[#This Row],[Done?]]="Yes",1,IF(OR(Tasks[[#This Row],[Due Date]]&gt;PlanDueDate,Tasks[[#This Row],[Done?]]="No"),-1,IF(OR(OR(Tasks[[#This Row],[Due Date]]=TODAY(),Tasks[[#This Row],[Due Date]]=PlanDueDate),Tasks[[#This Row],[Done?]]="Pending"),0,"")))),"")</f>
        <v>-1</v>
      </c>
      <c r="G63" s="20" t="s">
        <v>23</v>
      </c>
    </row>
    <row r="64" customFormat="false" ht="30" hidden="false" customHeight="true" outlineLevel="0" collapsed="false">
      <c r="B64" s="19" t="n">
        <f aca="false">Tasks[[#This Row],[Status Icon]]</f>
        <v>-1</v>
      </c>
      <c r="C64" s="0" t="s">
        <v>79</v>
      </c>
      <c r="D64" s="17" t="n">
        <v>46111</v>
      </c>
      <c r="E64" s="18" t="s">
        <v>45</v>
      </c>
      <c r="F64" s="19" t="n">
        <f aca="false">IFERROR(IF(ISBLANK(Tasks[[#This Row],[Due Date]]),"",IF(Tasks[[#This Row],[Done?]]="Yes",1,IF(OR(Tasks[[#This Row],[Due Date]]&gt;PlanDueDate,Tasks[[#This Row],[Done?]]="No"),-1,IF(OR(OR(Tasks[[#This Row],[Due Date]]=TODAY(),Tasks[[#This Row],[Due Date]]=PlanDueDate),Tasks[[#This Row],[Done?]]="Pending"),0,"")))),"")</f>
        <v>-1</v>
      </c>
      <c r="G64" s="20" t="s">
        <v>23</v>
      </c>
    </row>
    <row r="65" customFormat="false" ht="30" hidden="false" customHeight="true" outlineLevel="0" collapsed="false">
      <c r="B65" s="19" t="str">
        <f aca="false">Tasks[[#This Row],[Status Icon]]</f>
        <v/>
      </c>
      <c r="C65" s="26" t="s">
        <v>80</v>
      </c>
      <c r="D65" s="27"/>
      <c r="E65" s="28"/>
      <c r="F65" s="29" t="str">
        <f aca="false">IFERROR(IF(ISBLANK(Tasks[[#This Row],[Due Date]]),"",IF(Tasks[[#This Row],[Done?]]="Yes",1,IF(OR(Tasks[[#This Row],[Due Date]]&gt;PlanDueDate,Tasks[[#This Row],[Done?]]="No"),-1,IF(OR(OR(Tasks[[#This Row],[Due Date]]=TODAY(),Tasks[[#This Row],[Due Date]]=PlanDueDate),Tasks[[#This Row],[Done?]]="Pending"),0,"")))),"")</f>
        <v/>
      </c>
      <c r="G65" s="30"/>
    </row>
    <row r="66" customFormat="false" ht="30" hidden="false" customHeight="true" outlineLevel="0" collapsed="false">
      <c r="B66" s="19" t="n">
        <f aca="false">Tasks[[#This Row],[Status Icon]]</f>
        <v>-1</v>
      </c>
      <c r="C66" s="0" t="s">
        <v>81</v>
      </c>
      <c r="D66" s="17" t="n">
        <v>46114</v>
      </c>
      <c r="E66" s="18" t="s">
        <v>45</v>
      </c>
      <c r="F66" s="19" t="n">
        <f aca="false">IFERROR(IF(ISBLANK(Tasks[[#This Row],[Due Date]]),"",IF(Tasks[[#This Row],[Done?]]="Yes",1,IF(OR(Tasks[[#This Row],[Due Date]]&gt;PlanDueDate,Tasks[[#This Row],[Done?]]="No"),-1,IF(OR(OR(Tasks[[#This Row],[Due Date]]=TODAY(),Tasks[[#This Row],[Due Date]]=PlanDueDate),Tasks[[#This Row],[Done?]]="Pending"),0,"")))),"")</f>
        <v>-1</v>
      </c>
      <c r="G66" s="20" t="s">
        <v>19</v>
      </c>
    </row>
    <row r="67" customFormat="false" ht="30" hidden="false" customHeight="true" outlineLevel="0" collapsed="false">
      <c r="B67" s="19" t="n">
        <f aca="false">Tasks[[#This Row],[Status Icon]]</f>
        <v>-1</v>
      </c>
      <c r="C67" s="0" t="s">
        <v>82</v>
      </c>
      <c r="D67" s="17" t="n">
        <v>46114</v>
      </c>
      <c r="E67" s="18" t="s">
        <v>45</v>
      </c>
      <c r="F67" s="19" t="n">
        <f aca="false">IFERROR(IF(ISBLANK(Tasks[[#This Row],[Due Date]]),"",IF(Tasks[[#This Row],[Done?]]="Yes",1,IF(OR(Tasks[[#This Row],[Due Date]]&gt;PlanDueDate,Tasks[[#This Row],[Done?]]="No"),-1,IF(OR(OR(Tasks[[#This Row],[Due Date]]=TODAY(),Tasks[[#This Row],[Due Date]]=PlanDueDate),Tasks[[#This Row],[Done?]]="Pending"),0,"")))),"")</f>
        <v>-1</v>
      </c>
      <c r="G67" s="20" t="s">
        <v>19</v>
      </c>
    </row>
    <row r="68" customFormat="false" ht="30" hidden="false" customHeight="true" outlineLevel="0" collapsed="false">
      <c r="B68" s="19" t="n">
        <f aca="false">Tasks[[#This Row],[Status Icon]]</f>
        <v>-1</v>
      </c>
      <c r="C68" s="0" t="s">
        <v>83</v>
      </c>
      <c r="D68" s="17" t="n">
        <v>46114</v>
      </c>
      <c r="E68" s="18" t="s">
        <v>45</v>
      </c>
      <c r="F68" s="19" t="n">
        <f aca="false">IFERROR(IF(ISBLANK(Tasks[[#This Row],[Due Date]]),"",IF(Tasks[[#This Row],[Done?]]="Yes",1,IF(OR(Tasks[[#This Row],[Due Date]]&gt;PlanDueDate,Tasks[[#This Row],[Done?]]="No"),-1,IF(OR(OR(Tasks[[#This Row],[Due Date]]=TODAY(),Tasks[[#This Row],[Due Date]]=PlanDueDate),Tasks[[#This Row],[Done?]]="Pending"),0,"")))),"")</f>
        <v>-1</v>
      </c>
      <c r="G68" s="20" t="s">
        <v>23</v>
      </c>
    </row>
    <row r="69" customFormat="false" ht="30" hidden="false" customHeight="true" outlineLevel="0" collapsed="false">
      <c r="B69" s="19" t="str">
        <f aca="false">Tasks[[#This Row],[Status Icon]]</f>
        <v/>
      </c>
      <c r="C69" s="26" t="s">
        <v>84</v>
      </c>
      <c r="D69" s="27"/>
      <c r="E69" s="28"/>
      <c r="F69" s="29" t="str">
        <f aca="false">IFERROR(IF(ISBLANK(Tasks[[#This Row],[Due Date]]),"",IF(Tasks[[#This Row],[Done?]]="Yes",1,IF(OR(Tasks[[#This Row],[Due Date]]&gt;PlanDueDate,Tasks[[#This Row],[Done?]]="No"),-1,IF(OR(OR(Tasks[[#This Row],[Due Date]]=TODAY(),Tasks[[#This Row],[Due Date]]=PlanDueDate),Tasks[[#This Row],[Done?]]="Pending"),0,"")))),"")</f>
        <v/>
      </c>
      <c r="G69" s="30"/>
    </row>
    <row r="70" customFormat="false" ht="30" hidden="false" customHeight="true" outlineLevel="0" collapsed="false">
      <c r="B70" s="19" t="n">
        <f aca="false">Tasks[[#This Row],[Status Icon]]</f>
        <v>-1</v>
      </c>
      <c r="C70" s="0" t="s">
        <v>85</v>
      </c>
      <c r="D70" s="17" t="n">
        <v>46116</v>
      </c>
      <c r="E70" s="18" t="s">
        <v>45</v>
      </c>
      <c r="F70" s="19" t="n">
        <f aca="false">IFERROR(IF(ISBLANK(Tasks[[#This Row],[Due Date]]),"",IF(Tasks[[#This Row],[Done?]]="Yes",1,IF(OR(Tasks[[#This Row],[Due Date]]&gt;PlanDueDate,Tasks[[#This Row],[Done?]]="No"),-1,IF(OR(OR(Tasks[[#This Row],[Due Date]]=TODAY(),Tasks[[#This Row],[Due Date]]=PlanDueDate),Tasks[[#This Row],[Done?]]="Pending"),0,"")))),"")</f>
        <v>-1</v>
      </c>
      <c r="G70" s="20" t="s">
        <v>19</v>
      </c>
    </row>
    <row r="71" customFormat="false" ht="30" hidden="false" customHeight="true" outlineLevel="0" collapsed="false">
      <c r="B71" s="19" t="n">
        <f aca="false">Tasks[[#This Row],[Status Icon]]</f>
        <v>-1</v>
      </c>
      <c r="C71" s="0" t="s">
        <v>86</v>
      </c>
      <c r="D71" s="17" t="n">
        <v>46116</v>
      </c>
      <c r="E71" s="18" t="s">
        <v>45</v>
      </c>
      <c r="F71" s="19" t="n">
        <f aca="false">IFERROR(IF(ISBLANK(Tasks[[#This Row],[Due Date]]),"",IF(Tasks[[#This Row],[Done?]]="Yes",1,IF(OR(Tasks[[#This Row],[Due Date]]&gt;PlanDueDate,Tasks[[#This Row],[Done?]]="No"),-1,IF(OR(OR(Tasks[[#This Row],[Due Date]]=TODAY(),Tasks[[#This Row],[Due Date]]=PlanDueDate),Tasks[[#This Row],[Done?]]="Pending"),0,"")))),"")</f>
        <v>-1</v>
      </c>
      <c r="G71" s="20" t="s">
        <v>23</v>
      </c>
    </row>
    <row r="72" customFormat="false" ht="30" hidden="false" customHeight="true" outlineLevel="0" collapsed="false">
      <c r="B72" s="19" t="n">
        <f aca="false">Tasks[[#This Row],[Status Icon]]</f>
        <v>-1</v>
      </c>
      <c r="C72" s="0" t="s">
        <v>87</v>
      </c>
      <c r="D72" s="17" t="n">
        <v>46116</v>
      </c>
      <c r="E72" s="18" t="s">
        <v>45</v>
      </c>
      <c r="F72" s="19" t="n">
        <f aca="false">IFERROR(IF(ISBLANK(Tasks[[#This Row],[Due Date]]),"",IF(Tasks[[#This Row],[Done?]]="Yes",1,IF(OR(Tasks[[#This Row],[Due Date]]&gt;PlanDueDate,Tasks[[#This Row],[Done?]]="No"),-1,IF(OR(OR(Tasks[[#This Row],[Due Date]]=TODAY(),Tasks[[#This Row],[Due Date]]=PlanDueDate),Tasks[[#This Row],[Done?]]="Pending"),0,"")))),"")</f>
        <v>-1</v>
      </c>
      <c r="G72" s="20" t="s">
        <v>23</v>
      </c>
    </row>
    <row r="73" customFormat="false" ht="30" hidden="false" customHeight="true" outlineLevel="0" collapsed="false">
      <c r="B73" s="19" t="n">
        <f aca="false">Tasks[[#This Row],[Status Icon]]</f>
        <v>-1</v>
      </c>
      <c r="C73" s="0" t="s">
        <v>88</v>
      </c>
      <c r="D73" s="17" t="n">
        <v>46116</v>
      </c>
      <c r="E73" s="18" t="s">
        <v>45</v>
      </c>
      <c r="F73" s="19" t="n">
        <f aca="false">IFERROR(IF(ISBLANK(Tasks[[#This Row],[Due Date]]),"",IF(Tasks[[#This Row],[Done?]]="Yes",1,IF(OR(Tasks[[#This Row],[Due Date]]&gt;PlanDueDate,Tasks[[#This Row],[Done?]]="No"),-1,IF(OR(OR(Tasks[[#This Row],[Due Date]]=TODAY(),Tasks[[#This Row],[Due Date]]=PlanDueDate),Tasks[[#This Row],[Done?]]="Pending"),0,"")))),"")</f>
        <v>-1</v>
      </c>
      <c r="G73" s="20" t="s">
        <v>19</v>
      </c>
    </row>
    <row r="74" customFormat="false" ht="30" hidden="false" customHeight="true" outlineLevel="0" collapsed="false">
      <c r="B74" s="19" t="str">
        <f aca="false">Tasks[[#This Row],[Status Icon]]</f>
        <v/>
      </c>
      <c r="C74" s="26" t="s">
        <v>89</v>
      </c>
      <c r="D74" s="27"/>
      <c r="E74" s="28"/>
      <c r="F74" s="29" t="str">
        <f aca="false">IFERROR(IF(ISBLANK(Tasks[[#This Row],[Due Date]]),"",IF(Tasks[[#This Row],[Done?]]="Yes",1,IF(OR(Tasks[[#This Row],[Due Date]]&gt;PlanDueDate,Tasks[[#This Row],[Done?]]="No"),-1,IF(OR(OR(Tasks[[#This Row],[Due Date]]=TODAY(),Tasks[[#This Row],[Due Date]]=PlanDueDate),Tasks[[#This Row],[Done?]]="Pending"),0,"")))),"")</f>
        <v/>
      </c>
      <c r="G74" s="30"/>
    </row>
    <row r="75" customFormat="false" ht="30" hidden="false" customHeight="true" outlineLevel="0" collapsed="false">
      <c r="B75" s="19" t="n">
        <f aca="false">Tasks[[#This Row],[Status Icon]]</f>
        <v>-1</v>
      </c>
      <c r="C75" s="0" t="s">
        <v>90</v>
      </c>
      <c r="D75" s="17" t="n">
        <v>46116</v>
      </c>
      <c r="E75" s="18" t="s">
        <v>45</v>
      </c>
      <c r="F75" s="19" t="n">
        <f aca="false">IFERROR(IF(ISBLANK(Tasks[[#This Row],[Due Date]]),"",IF(Tasks[[#This Row],[Done?]]="Yes",1,IF(OR(Tasks[[#This Row],[Due Date]]&gt;PlanDueDate,Tasks[[#This Row],[Done?]]="No"),-1,IF(OR(OR(Tasks[[#This Row],[Due Date]]=TODAY(),Tasks[[#This Row],[Due Date]]=PlanDueDate),Tasks[[#This Row],[Done?]]="Pending"),0,"")))),"")</f>
        <v>-1</v>
      </c>
      <c r="G75" s="20" t="s">
        <v>19</v>
      </c>
    </row>
    <row r="76" customFormat="false" ht="30" hidden="false" customHeight="true" outlineLevel="0" collapsed="false">
      <c r="B76" s="19" t="n">
        <f aca="false">Tasks[[#This Row],[Status Icon]]</f>
        <v>-1</v>
      </c>
      <c r="C76" s="0" t="s">
        <v>91</v>
      </c>
      <c r="D76" s="17" t="n">
        <v>46116</v>
      </c>
      <c r="E76" s="18" t="s">
        <v>45</v>
      </c>
      <c r="F76" s="19" t="n">
        <f aca="false">IFERROR(IF(ISBLANK(Tasks[[#This Row],[Due Date]]),"",IF(Tasks[[#This Row],[Done?]]="Yes",1,IF(OR(Tasks[[#This Row],[Due Date]]&gt;PlanDueDate,Tasks[[#This Row],[Done?]]="No"),-1,IF(OR(OR(Tasks[[#This Row],[Due Date]]=TODAY(),Tasks[[#This Row],[Due Date]]=PlanDueDate),Tasks[[#This Row],[Done?]]="Pending"),0,"")))),"")</f>
        <v>-1</v>
      </c>
      <c r="G76" s="20" t="s">
        <v>19</v>
      </c>
    </row>
    <row r="77" customFormat="false" ht="30" hidden="false" customHeight="true" outlineLevel="0" collapsed="false">
      <c r="B77" s="19" t="n">
        <f aca="false">Tasks[[#This Row],[Status Icon]]</f>
        <v>-1</v>
      </c>
      <c r="C77" s="0" t="s">
        <v>92</v>
      </c>
      <c r="D77" s="17" t="n">
        <v>46116</v>
      </c>
      <c r="E77" s="18" t="s">
        <v>45</v>
      </c>
      <c r="F77" s="19" t="n">
        <f aca="false">IFERROR(IF(ISBLANK(Tasks[[#This Row],[Due Date]]),"",IF(Tasks[[#This Row],[Done?]]="Yes",1,IF(OR(Tasks[[#This Row],[Due Date]]&gt;PlanDueDate,Tasks[[#This Row],[Done?]]="No"),-1,IF(OR(OR(Tasks[[#This Row],[Due Date]]=TODAY(),Tasks[[#This Row],[Due Date]]=PlanDueDate),Tasks[[#This Row],[Done?]]="Pending"),0,"")))),"")</f>
        <v>-1</v>
      </c>
      <c r="G77" s="20" t="s">
        <v>19</v>
      </c>
    </row>
    <row r="78" customFormat="false" ht="30" hidden="false" customHeight="true" outlineLevel="0" collapsed="false">
      <c r="B78" s="19" t="n">
        <f aca="false">Tasks[[#This Row],[Status Icon]]</f>
        <v>-1</v>
      </c>
      <c r="C78" s="0" t="s">
        <v>93</v>
      </c>
      <c r="D78" s="17" t="n">
        <v>46116</v>
      </c>
      <c r="E78" s="18" t="s">
        <v>45</v>
      </c>
      <c r="F78" s="19" t="n">
        <f aca="false">IFERROR(IF(ISBLANK(Tasks[[#This Row],[Due Date]]),"",IF(Tasks[[#This Row],[Done?]]="Yes",1,IF(OR(Tasks[[#This Row],[Due Date]]&gt;PlanDueDate,Tasks[[#This Row],[Done?]]="No"),-1,IF(OR(OR(Tasks[[#This Row],[Due Date]]=TODAY(),Tasks[[#This Row],[Due Date]]=PlanDueDate),Tasks[[#This Row],[Done?]]="Pending"),0,"")))),"")</f>
        <v>-1</v>
      </c>
      <c r="G78" s="20" t="s">
        <v>19</v>
      </c>
    </row>
    <row r="79" customFormat="false" ht="30" hidden="false" customHeight="true" outlineLevel="0" collapsed="false">
      <c r="B79" s="19" t="str">
        <f aca="false">Tasks[[#This Row],[Status Icon]]</f>
        <v/>
      </c>
      <c r="C79" s="26" t="s">
        <v>94</v>
      </c>
      <c r="D79" s="27"/>
      <c r="E79" s="28"/>
      <c r="F79" s="29" t="str">
        <f aca="false">IFERROR(IF(ISBLANK(Tasks[[#This Row],[Due Date]]),"",IF(Tasks[[#This Row],[Done?]]="Yes",1,IF(OR(Tasks[[#This Row],[Due Date]]&gt;PlanDueDate,Tasks[[#This Row],[Done?]]="No"),-1,IF(OR(OR(Tasks[[#This Row],[Due Date]]=TODAY(),Tasks[[#This Row],[Due Date]]=PlanDueDate),Tasks[[#This Row],[Done?]]="Pending"),0,"")))),"")</f>
        <v/>
      </c>
      <c r="G79" s="30"/>
    </row>
    <row r="80" customFormat="false" ht="30" hidden="false" customHeight="true" outlineLevel="0" collapsed="false">
      <c r="B80" s="19" t="n">
        <f aca="false">Tasks[[#This Row],[Status Icon]]</f>
        <v>-1</v>
      </c>
      <c r="C80" s="0" t="s">
        <v>95</v>
      </c>
      <c r="D80" s="17" t="n">
        <v>46123</v>
      </c>
      <c r="E80" s="18" t="s">
        <v>45</v>
      </c>
      <c r="F80" s="19" t="n">
        <f aca="false">IFERROR(IF(ISBLANK(Tasks[[#This Row],[Due Date]]),"",IF(Tasks[[#This Row],[Done?]]="Yes",1,IF(OR(Tasks[[#This Row],[Due Date]]&gt;PlanDueDate,Tasks[[#This Row],[Done?]]="No"),-1,IF(OR(OR(Tasks[[#This Row],[Due Date]]=TODAY(),Tasks[[#This Row],[Due Date]]=PlanDueDate),Tasks[[#This Row],[Done?]]="Pending"),0,"")))),"")</f>
        <v>-1</v>
      </c>
      <c r="G80" s="20" t="s">
        <v>19</v>
      </c>
    </row>
    <row r="81" customFormat="false" ht="30" hidden="false" customHeight="true" outlineLevel="0" collapsed="false">
      <c r="B81" s="19" t="str">
        <f aca="false">Tasks[[#This Row],[Status Icon]]</f>
        <v/>
      </c>
      <c r="C81" s="26" t="s">
        <v>96</v>
      </c>
      <c r="D81" s="27"/>
      <c r="E81" s="28"/>
      <c r="F81" s="29" t="str">
        <f aca="false">IFERROR(IF(ISBLANK(Tasks[[#This Row],[Due Date]]),"",IF(Tasks[[#This Row],[Done?]]="Yes",1,IF(OR(Tasks[[#This Row],[Due Date]]&gt;PlanDueDate,Tasks[[#This Row],[Done?]]="No"),-1,IF(OR(OR(Tasks[[#This Row],[Due Date]]=TODAY(),Tasks[[#This Row],[Due Date]]=PlanDueDate),Tasks[[#This Row],[Done?]]="Pending"),0,"")))),"")</f>
        <v/>
      </c>
      <c r="G81" s="30"/>
    </row>
    <row r="82" customFormat="false" ht="30" hidden="false" customHeight="true" outlineLevel="0" collapsed="false">
      <c r="B82" s="19" t="n">
        <f aca="false">Tasks[[#This Row],[Status Icon]]</f>
        <v>-1</v>
      </c>
      <c r="C82" s="0" t="s">
        <v>97</v>
      </c>
      <c r="D82" s="17" t="n">
        <v>46135</v>
      </c>
      <c r="E82" s="18" t="s">
        <v>45</v>
      </c>
      <c r="F82" s="19" t="n">
        <f aca="false">IFERROR(IF(ISBLANK(Tasks[[#This Row],[Due Date]]),"",IF(Tasks[[#This Row],[Done?]]="Yes",1,IF(OR(Tasks[[#This Row],[Due Date]]&gt;PlanDueDate,Tasks[[#This Row],[Done?]]="No"),-1,IF(OR(OR(Tasks[[#This Row],[Due Date]]=TODAY(),Tasks[[#This Row],[Due Date]]=PlanDueDate),Tasks[[#This Row],[Done?]]="Pending"),0,"")))),"")</f>
        <v>-1</v>
      </c>
      <c r="G82" s="20" t="s">
        <v>23</v>
      </c>
    </row>
    <row r="83" customFormat="false" ht="30" hidden="false" customHeight="true" outlineLevel="0" collapsed="false">
      <c r="B83" s="19" t="n">
        <f aca="false">Tasks[[#This Row],[Status Icon]]</f>
        <v>-1</v>
      </c>
      <c r="C83" s="0" t="s">
        <v>98</v>
      </c>
      <c r="D83" s="17" t="n">
        <v>46142</v>
      </c>
      <c r="E83" s="18" t="s">
        <v>45</v>
      </c>
      <c r="F83" s="19" t="n">
        <f aca="false">IFERROR(IF(ISBLANK(Tasks[[#This Row],[Due Date]]),"",IF(Tasks[[#This Row],[Done?]]="Yes",1,IF(OR(Tasks[[#This Row],[Due Date]]&gt;PlanDueDate,Tasks[[#This Row],[Done?]]="No"),-1,IF(OR(OR(Tasks[[#This Row],[Due Date]]=TODAY(),Tasks[[#This Row],[Due Date]]=PlanDueDate),Tasks[[#This Row],[Done?]]="Pending"),0,"")))),"")</f>
        <v>-1</v>
      </c>
      <c r="G83" s="20" t="s">
        <v>19</v>
      </c>
    </row>
    <row r="84" customFormat="false" ht="30" hidden="false" customHeight="true" outlineLevel="0" collapsed="false">
      <c r="B84" s="19" t="n">
        <f aca="false">Tasks[[#This Row],[Status Icon]]</f>
        <v>-1</v>
      </c>
      <c r="C84" s="0" t="s">
        <v>99</v>
      </c>
      <c r="D84" s="17" t="n">
        <v>46142</v>
      </c>
      <c r="E84" s="18" t="s">
        <v>45</v>
      </c>
      <c r="F84" s="19" t="n">
        <f aca="false">IFERROR(IF(ISBLANK(Tasks[[#This Row],[Due Date]]),"",IF(Tasks[[#This Row],[Done?]]="Yes",1,IF(OR(Tasks[[#This Row],[Due Date]]&gt;PlanDueDate,Tasks[[#This Row],[Done?]]="No"),-1,IF(OR(OR(Tasks[[#This Row],[Due Date]]=TODAY(),Tasks[[#This Row],[Due Date]]=PlanDueDate),Tasks[[#This Row],[Done?]]="Pending"),0,"")))),"")</f>
        <v>-1</v>
      </c>
      <c r="G84" s="20" t="s">
        <v>19</v>
      </c>
    </row>
    <row r="85" customFormat="false" ht="30" hidden="false" customHeight="true" outlineLevel="0" collapsed="false">
      <c r="B85" s="19" t="str">
        <f aca="false">Tasks[[#This Row],[Status Icon]]</f>
        <v/>
      </c>
      <c r="C85" s="26" t="s">
        <v>100</v>
      </c>
      <c r="D85" s="27"/>
      <c r="E85" s="28"/>
      <c r="F85" s="29" t="str">
        <f aca="false">IFERROR(IF(ISBLANK(Tasks[[#This Row],[Due Date]]),"",IF(Tasks[[#This Row],[Done?]]="Yes",1,IF(OR(Tasks[[#This Row],[Due Date]]&gt;PlanDueDate,Tasks[[#This Row],[Done?]]="No"),-1,IF(OR(OR(Tasks[[#This Row],[Due Date]]=TODAY(),Tasks[[#This Row],[Due Date]]=PlanDueDate),Tasks[[#This Row],[Done?]]="Pending"),0,"")))),"")</f>
        <v/>
      </c>
      <c r="G85" s="30"/>
    </row>
    <row r="86" customFormat="false" ht="30" hidden="false" customHeight="true" outlineLevel="0" collapsed="false">
      <c r="B86" s="19" t="n">
        <f aca="false">Tasks[[#This Row],[Status Icon]]</f>
        <v>-1</v>
      </c>
      <c r="C86" s="0" t="s">
        <v>101</v>
      </c>
      <c r="D86" s="17" t="n">
        <v>46156</v>
      </c>
      <c r="E86" s="18" t="s">
        <v>45</v>
      </c>
      <c r="F86" s="19" t="n">
        <f aca="false">IFERROR(IF(ISBLANK(Tasks[[#This Row],[Due Date]]),"",IF(Tasks[[#This Row],[Done?]]="Yes",1,IF(OR(Tasks[[#This Row],[Due Date]]&gt;PlanDueDate,Tasks[[#This Row],[Done?]]="No"),-1,IF(OR(OR(Tasks[[#This Row],[Due Date]]=TODAY(),Tasks[[#This Row],[Due Date]]=PlanDueDate),Tasks[[#This Row],[Done?]]="Pending"),0,"")))),"")</f>
        <v>-1</v>
      </c>
      <c r="G86" s="20" t="s">
        <v>19</v>
      </c>
    </row>
    <row r="87" customFormat="false" ht="30" hidden="false" customHeight="true" outlineLevel="0" collapsed="false">
      <c r="B87" s="19" t="n">
        <f aca="false">Tasks[[#This Row],[Status Icon]]</f>
        <v>-1</v>
      </c>
      <c r="C87" s="0" t="s">
        <v>102</v>
      </c>
      <c r="D87" s="17" t="n">
        <v>46156</v>
      </c>
      <c r="E87" s="18" t="s">
        <v>45</v>
      </c>
      <c r="F87" s="19" t="n">
        <f aca="false">IFERROR(IF(ISBLANK(Tasks[[#This Row],[Due Date]]),"",IF(Tasks[[#This Row],[Done?]]="Yes",1,IF(OR(Tasks[[#This Row],[Due Date]]&gt;PlanDueDate,Tasks[[#This Row],[Done?]]="No"),-1,IF(OR(OR(Tasks[[#This Row],[Due Date]]=TODAY(),Tasks[[#This Row],[Due Date]]=PlanDueDate),Tasks[[#This Row],[Done?]]="Pending"),0,"")))),"")</f>
        <v>-1</v>
      </c>
      <c r="G87" s="20" t="s">
        <v>19</v>
      </c>
    </row>
    <row r="88" customFormat="false" ht="30" hidden="false" customHeight="true" outlineLevel="0" collapsed="false">
      <c r="B88" s="19" t="str">
        <f aca="false">Tasks[[#This Row],[Status Icon]]</f>
        <v/>
      </c>
      <c r="C88" s="26" t="s">
        <v>103</v>
      </c>
      <c r="D88" s="27"/>
      <c r="E88" s="28"/>
      <c r="F88" s="29" t="str">
        <f aca="false">IFERROR(IF(ISBLANK(Tasks[[#This Row],[Due Date]]),"",IF(Tasks[[#This Row],[Done?]]="Yes",1,IF(OR(Tasks[[#This Row],[Due Date]]&gt;PlanDueDate,Tasks[[#This Row],[Done?]]="No"),-1,IF(OR(OR(Tasks[[#This Row],[Due Date]]=TODAY(),Tasks[[#This Row],[Due Date]]=PlanDueDate),Tasks[[#This Row],[Done?]]="Pending"),0,"")))),"")</f>
        <v/>
      </c>
      <c r="G88" s="30"/>
    </row>
    <row r="89" customFormat="false" ht="30" hidden="false" customHeight="true" outlineLevel="0" collapsed="false">
      <c r="B89" s="19" t="n">
        <f aca="false">Tasks[[#This Row],[Status Icon]]</f>
        <v>-1</v>
      </c>
      <c r="C89" s="0" t="s">
        <v>104</v>
      </c>
      <c r="D89" s="17" t="n">
        <v>46163</v>
      </c>
      <c r="E89" s="18" t="s">
        <v>45</v>
      </c>
      <c r="F89" s="19" t="n">
        <f aca="false">IFERROR(IF(ISBLANK(Tasks[[#This Row],[Due Date]]),"",IF(Tasks[[#This Row],[Done?]]="Yes",1,IF(OR(Tasks[[#This Row],[Due Date]]&gt;PlanDueDate,Tasks[[#This Row],[Done?]]="No"),-1,IF(OR(OR(Tasks[[#This Row],[Due Date]]=TODAY(),Tasks[[#This Row],[Due Date]]=PlanDueDate),Tasks[[#This Row],[Done?]]="Pending"),0,"")))),"")</f>
        <v>-1</v>
      </c>
      <c r="G89" s="20" t="s">
        <v>30</v>
      </c>
    </row>
    <row r="90" customFormat="false" ht="30" hidden="false" customHeight="true" outlineLevel="0" collapsed="false">
      <c r="B90" s="19" t="n">
        <f aca="false">Tasks[[#This Row],[Status Icon]]</f>
        <v>-1</v>
      </c>
      <c r="C90" s="0" t="s">
        <v>105</v>
      </c>
      <c r="D90" s="17" t="n">
        <v>46170</v>
      </c>
      <c r="E90" s="18" t="s">
        <v>45</v>
      </c>
      <c r="F90" s="19" t="n">
        <f aca="false">IFERROR(IF(ISBLANK(Tasks[[#This Row],[Due Date]]),"",IF(Tasks[[#This Row],[Done?]]="Yes",1,IF(OR(Tasks[[#This Row],[Due Date]]&gt;PlanDueDate,Tasks[[#This Row],[Done?]]="No"),-1,IF(OR(OR(Tasks[[#This Row],[Due Date]]=TODAY(),Tasks[[#This Row],[Due Date]]=PlanDueDate),Tasks[[#This Row],[Done?]]="Pending"),0,"")))),"")</f>
        <v>-1</v>
      </c>
      <c r="G90" s="20" t="s">
        <v>23</v>
      </c>
    </row>
    <row r="91" customFormat="false" ht="30" hidden="false" customHeight="true" outlineLevel="0" collapsed="false">
      <c r="B91" s="19" t="n">
        <f aca="false">Tasks[[#This Row],[Status Icon]]</f>
        <v>-1</v>
      </c>
      <c r="C91" s="0" t="s">
        <v>106</v>
      </c>
      <c r="D91" s="17" t="n">
        <v>46170</v>
      </c>
      <c r="E91" s="18" t="s">
        <v>45</v>
      </c>
      <c r="F91" s="19" t="n">
        <f aca="false">IFERROR(IF(ISBLANK(Tasks[[#This Row],[Due Date]]),"",IF(Tasks[[#This Row],[Done?]]="Yes",1,IF(OR(Tasks[[#This Row],[Due Date]]&gt;PlanDueDate,Tasks[[#This Row],[Done?]]="No"),-1,IF(OR(OR(Tasks[[#This Row],[Due Date]]=TODAY(),Tasks[[#This Row],[Due Date]]=PlanDueDate),Tasks[[#This Row],[Done?]]="Pending"),0,"")))),"")</f>
        <v>-1</v>
      </c>
      <c r="G91" s="20" t="s">
        <v>30</v>
      </c>
    </row>
    <row r="92" customFormat="false" ht="30" hidden="false" customHeight="true" outlineLevel="0" collapsed="false">
      <c r="B92" s="19" t="n">
        <f aca="false">Tasks[[#This Row],[Status Icon]]</f>
        <v>-1</v>
      </c>
      <c r="C92" s="0" t="s">
        <v>107</v>
      </c>
      <c r="D92" s="17" t="n">
        <v>46170</v>
      </c>
      <c r="E92" s="18" t="s">
        <v>45</v>
      </c>
      <c r="F92" s="19" t="n">
        <f aca="false">IFERROR(IF(ISBLANK(Tasks[[#This Row],[Due Date]]),"",IF(Tasks[[#This Row],[Done?]]="Yes",1,IF(OR(Tasks[[#This Row],[Due Date]]&gt;PlanDueDate,Tasks[[#This Row],[Done?]]="No"),-1,IF(OR(OR(Tasks[[#This Row],[Due Date]]=TODAY(),Tasks[[#This Row],[Due Date]]=PlanDueDate),Tasks[[#This Row],[Done?]]="Pending"),0,"")))),"")</f>
        <v>-1</v>
      </c>
      <c r="G92" s="20" t="s">
        <v>30</v>
      </c>
    </row>
    <row r="93" customFormat="false" ht="30" hidden="false" customHeight="true" outlineLevel="0" collapsed="false">
      <c r="B93" s="19" t="str">
        <f aca="false">Tasks[[#This Row],[Status Icon]]</f>
        <v/>
      </c>
      <c r="C93" s="26" t="s">
        <v>108</v>
      </c>
      <c r="D93" s="27"/>
      <c r="E93" s="28"/>
      <c r="F93" s="29" t="str">
        <f aca="false">IFERROR(IF(ISBLANK(Tasks[[#This Row],[Due Date]]),"",IF(Tasks[[#This Row],[Done?]]="Yes",1,IF(OR(Tasks[[#This Row],[Due Date]]&gt;PlanDueDate,Tasks[[#This Row],[Done?]]="No"),-1,IF(OR(OR(Tasks[[#This Row],[Due Date]]=TODAY(),Tasks[[#This Row],[Due Date]]=PlanDueDate),Tasks[[#This Row],[Done?]]="Pending"),0,"")))),"")</f>
        <v/>
      </c>
      <c r="G93" s="30"/>
    </row>
    <row r="94" customFormat="false" ht="30" hidden="false" customHeight="true" outlineLevel="0" collapsed="false">
      <c r="B94" s="19" t="n">
        <f aca="false">Tasks[[#This Row],[Status Icon]]</f>
        <v>-1</v>
      </c>
      <c r="C94" s="0" t="s">
        <v>109</v>
      </c>
      <c r="D94" s="17" t="n">
        <v>46177</v>
      </c>
      <c r="E94" s="18" t="s">
        <v>45</v>
      </c>
      <c r="F94" s="19" t="n">
        <f aca="false">IFERROR(IF(ISBLANK(Tasks[[#This Row],[Due Date]]),"",IF(Tasks[[#This Row],[Done?]]="Yes",1,IF(OR(Tasks[[#This Row],[Due Date]]&gt;PlanDueDate,Tasks[[#This Row],[Done?]]="No"),-1,IF(OR(OR(Tasks[[#This Row],[Due Date]]=TODAY(),Tasks[[#This Row],[Due Date]]=PlanDueDate),Tasks[[#This Row],[Done?]]="Pending"),0,"")))),"")</f>
        <v>-1</v>
      </c>
      <c r="G94" s="20" t="s">
        <v>19</v>
      </c>
    </row>
    <row r="95" customFormat="false" ht="30" hidden="false" customHeight="true" outlineLevel="0" collapsed="false">
      <c r="B95" s="19" t="n">
        <f aca="false">Tasks[[#This Row],[Status Icon]]</f>
        <v>-1</v>
      </c>
      <c r="C95" s="0" t="s">
        <v>110</v>
      </c>
      <c r="D95" s="17" t="n">
        <v>46177</v>
      </c>
      <c r="E95" s="18" t="s">
        <v>45</v>
      </c>
      <c r="F95" s="19" t="n">
        <f aca="false">IFERROR(IF(ISBLANK(Tasks[[#This Row],[Due Date]]),"",IF(Tasks[[#This Row],[Done?]]="Yes",1,IF(OR(Tasks[[#This Row],[Due Date]]&gt;PlanDueDate,Tasks[[#This Row],[Done?]]="No"),-1,IF(OR(OR(Tasks[[#This Row],[Due Date]]=TODAY(),Tasks[[#This Row],[Due Date]]=PlanDueDate),Tasks[[#This Row],[Done?]]="Pending"),0,"")))),"")</f>
        <v>-1</v>
      </c>
      <c r="G95" s="20" t="s">
        <v>30</v>
      </c>
    </row>
    <row r="96" customFormat="false" ht="30" hidden="false" customHeight="true" outlineLevel="0" collapsed="false">
      <c r="B96" s="19" t="n">
        <f aca="false">Tasks[[#This Row],[Status Icon]]</f>
        <v>-1</v>
      </c>
      <c r="C96" s="0" t="s">
        <v>111</v>
      </c>
      <c r="D96" s="17" t="n">
        <v>46177</v>
      </c>
      <c r="E96" s="18" t="s">
        <v>45</v>
      </c>
      <c r="F96" s="19" t="n">
        <f aca="false">IFERROR(IF(ISBLANK(Tasks[[#This Row],[Due Date]]),"",IF(Tasks[[#This Row],[Done?]]="Yes",1,IF(OR(Tasks[[#This Row],[Due Date]]&gt;PlanDueDate,Tasks[[#This Row],[Done?]]="No"),-1,IF(OR(OR(Tasks[[#This Row],[Due Date]]=TODAY(),Tasks[[#This Row],[Due Date]]=PlanDueDate),Tasks[[#This Row],[Done?]]="Pending"),0,"")))),"")</f>
        <v>-1</v>
      </c>
      <c r="G96" s="20" t="s">
        <v>23</v>
      </c>
    </row>
    <row r="97" customFormat="false" ht="30" hidden="false" customHeight="true" outlineLevel="0" collapsed="false">
      <c r="B97" s="19" t="n">
        <f aca="false">Tasks[[#This Row],[Status Icon]]</f>
        <v>-1</v>
      </c>
      <c r="C97" s="0" t="s">
        <v>112</v>
      </c>
      <c r="D97" s="17" t="n">
        <v>46177</v>
      </c>
      <c r="E97" s="18" t="s">
        <v>45</v>
      </c>
      <c r="F97" s="19" t="n">
        <f aca="false">IFERROR(IF(ISBLANK(Tasks[[#This Row],[Due Date]]),"",IF(Tasks[[#This Row],[Done?]]="Yes",1,IF(OR(Tasks[[#This Row],[Due Date]]&gt;PlanDueDate,Tasks[[#This Row],[Done?]]="No"),-1,IF(OR(OR(Tasks[[#This Row],[Due Date]]=TODAY(),Tasks[[#This Row],[Due Date]]=PlanDueDate),Tasks[[#This Row],[Done?]]="Pending"),0,"")))),"")</f>
        <v>-1</v>
      </c>
      <c r="G97" s="20" t="s">
        <v>19</v>
      </c>
    </row>
    <row r="98" customFormat="false" ht="30" hidden="false" customHeight="true" outlineLevel="0" collapsed="false">
      <c r="B98" s="19" t="n">
        <f aca="false">Tasks[[#This Row],[Status Icon]]</f>
        <v>-1</v>
      </c>
      <c r="C98" s="0" t="s">
        <v>113</v>
      </c>
      <c r="D98" s="17" t="n">
        <v>46177</v>
      </c>
      <c r="E98" s="18" t="s">
        <v>45</v>
      </c>
      <c r="F98" s="19" t="n">
        <f aca="false">IFERROR(IF(ISBLANK(Tasks[[#This Row],[Due Date]]),"",IF(Tasks[[#This Row],[Done?]]="Yes",1,IF(OR(Tasks[[#This Row],[Due Date]]&gt;PlanDueDate,Tasks[[#This Row],[Done?]]="No"),-1,IF(OR(OR(Tasks[[#This Row],[Due Date]]=TODAY(),Tasks[[#This Row],[Due Date]]=PlanDueDate),Tasks[[#This Row],[Done?]]="Pending"),0,"")))),"")</f>
        <v>-1</v>
      </c>
      <c r="G98" s="20" t="s">
        <v>23</v>
      </c>
    </row>
    <row r="99" customFormat="false" ht="30" hidden="false" customHeight="true" outlineLevel="0" collapsed="false">
      <c r="B99" s="19" t="str">
        <f aca="false">Tasks[[#This Row],[Status Icon]]</f>
        <v/>
      </c>
      <c r="C99" s="26" t="s">
        <v>114</v>
      </c>
      <c r="D99" s="27"/>
      <c r="E99" s="28"/>
      <c r="F99" s="29" t="str">
        <f aca="false">IFERROR(IF(ISBLANK(Tasks[[#This Row],[Due Date]]),"",IF(Tasks[[#This Row],[Done?]]="Yes",1,IF(OR(Tasks[[#This Row],[Due Date]]&gt;PlanDueDate,Tasks[[#This Row],[Done?]]="No"),-1,IF(OR(OR(Tasks[[#This Row],[Due Date]]=TODAY(),Tasks[[#This Row],[Due Date]]=PlanDueDate),Tasks[[#This Row],[Done?]]="Pending"),0,"")))),"")</f>
        <v/>
      </c>
      <c r="G99" s="30"/>
    </row>
    <row r="100" customFormat="false" ht="30" hidden="false" customHeight="true" outlineLevel="0" collapsed="false">
      <c r="B100" s="19" t="n">
        <f aca="false">Tasks[[#This Row],[Status Icon]]</f>
        <v>-1</v>
      </c>
      <c r="C100" s="0" t="s">
        <v>115</v>
      </c>
      <c r="D100" s="17" t="n">
        <v>46185</v>
      </c>
      <c r="E100" s="18" t="s">
        <v>45</v>
      </c>
      <c r="F100" s="19" t="n">
        <f aca="false">IFERROR(IF(ISBLANK(Tasks[[#This Row],[Due Date]]),"",IF(Tasks[[#This Row],[Done?]]="Yes",1,IF(OR(Tasks[[#This Row],[Due Date]]&gt;PlanDueDate,Tasks[[#This Row],[Done?]]="No"),-1,IF(OR(OR(Tasks[[#This Row],[Due Date]]=TODAY(),Tasks[[#This Row],[Due Date]]=PlanDueDate),Tasks[[#This Row],[Done?]]="Pending"),0,"")))),"")</f>
        <v>-1</v>
      </c>
      <c r="G100" s="20" t="s">
        <v>23</v>
      </c>
    </row>
    <row r="101" customFormat="false" ht="30" hidden="false" customHeight="true" outlineLevel="0" collapsed="false">
      <c r="B101" s="19" t="n">
        <f aca="false">Tasks[[#This Row],[Status Icon]]</f>
        <v>-1</v>
      </c>
      <c r="C101" s="0" t="s">
        <v>116</v>
      </c>
      <c r="D101" s="17" t="n">
        <v>46185</v>
      </c>
      <c r="E101" s="18" t="s">
        <v>45</v>
      </c>
      <c r="F101" s="19" t="n">
        <f aca="false">IFERROR(IF(ISBLANK(Tasks[[#This Row],[Due Date]]),"",IF(Tasks[[#This Row],[Done?]]="Yes",1,IF(OR(Tasks[[#This Row],[Due Date]]&gt;PlanDueDate,Tasks[[#This Row],[Done?]]="No"),-1,IF(OR(OR(Tasks[[#This Row],[Due Date]]=TODAY(),Tasks[[#This Row],[Due Date]]=PlanDueDate),Tasks[[#This Row],[Done?]]="Pending"),0,"")))),"")</f>
        <v>-1</v>
      </c>
      <c r="G101" s="20" t="s">
        <v>19</v>
      </c>
    </row>
    <row r="102" customFormat="false" ht="30" hidden="false" customHeight="true" outlineLevel="0" collapsed="false">
      <c r="B102" s="19" t="n">
        <f aca="false">Tasks[[#This Row],[Status Icon]]</f>
        <v>-1</v>
      </c>
      <c r="C102" s="0" t="s">
        <v>117</v>
      </c>
      <c r="D102" s="17" t="n">
        <v>46185</v>
      </c>
      <c r="E102" s="18" t="s">
        <v>45</v>
      </c>
      <c r="F102" s="19" t="n">
        <f aca="false">IFERROR(IF(ISBLANK(Tasks[[#This Row],[Due Date]]),"",IF(Tasks[[#This Row],[Done?]]="Yes",1,IF(OR(Tasks[[#This Row],[Due Date]]&gt;PlanDueDate,Tasks[[#This Row],[Done?]]="No"),-1,IF(OR(OR(Tasks[[#This Row],[Due Date]]=TODAY(),Tasks[[#This Row],[Due Date]]=PlanDueDate),Tasks[[#This Row],[Done?]]="Pending"),0,"")))),"")</f>
        <v>-1</v>
      </c>
      <c r="G102" s="20" t="s">
        <v>19</v>
      </c>
    </row>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6">
    <mergeCell ref="B1:C1"/>
    <mergeCell ref="B2:C3"/>
    <mergeCell ref="B4:D4"/>
    <mergeCell ref="E4:G4"/>
    <mergeCell ref="B5:D5"/>
    <mergeCell ref="E5:G5"/>
  </mergeCells>
  <conditionalFormatting sqref="G26:G35">
    <cfRule type="expression" priority="2" aboveAverage="0" equalAverage="0" bottom="0" percent="0" rank="0" text="" dxfId="12">
      <formula>G26=1</formula>
    </cfRule>
    <cfRule type="expression" priority="3" aboveAverage="0" equalAverage="0" bottom="0" percent="0" rank="0" text="" dxfId="13">
      <formula>G26=0</formula>
    </cfRule>
    <cfRule type="expression" priority="4" aboveAverage="0" equalAverage="0" bottom="0" percent="0" rank="0" text="" dxfId="14">
      <formula>G26=-1</formula>
    </cfRule>
    <cfRule type="iconSet" priority="5">
      <iconSet iconSet="3Symbols2">
        <cfvo type="percent" val="0"/>
        <cfvo type="num" val="0"/>
        <cfvo type="num" val="1"/>
      </iconSet>
    </cfRule>
  </conditionalFormatting>
  <conditionalFormatting sqref="B88:B102 B7:B74 B79:B83 B85:B86">
    <cfRule type="colorScale" priority="6">
      <colorScale>
        <cfvo type="num" val="-1"/>
        <cfvo type="num" val="0"/>
        <cfvo type="num" val="1"/>
        <color rgb="FFD74F0C"/>
        <color rgb="FFFFE366"/>
        <color rgb="FF8FAE2A"/>
      </colorScale>
    </cfRule>
  </conditionalFormatting>
  <conditionalFormatting sqref="F88:F102 F7:F74 F79:F83 F85:F86">
    <cfRule type="expression" priority="7" aboveAverage="0" equalAverage="0" bottom="0" percent="0" rank="0" text="" dxfId="15">
      <formula>F7=1</formula>
    </cfRule>
    <cfRule type="expression" priority="8" aboveAverage="0" equalAverage="0" bottom="0" percent="0" rank="0" text="" dxfId="16">
      <formula>F7=0</formula>
    </cfRule>
    <cfRule type="expression" priority="9" aboveAverage="0" equalAverage="0" bottom="0" percent="0" rank="0" text="" dxfId="17">
      <formula>F7=-1</formula>
    </cfRule>
    <cfRule type="iconSet" priority="10">
      <iconSet iconSet="3Symbols2">
        <cfvo type="percent" val="0"/>
        <cfvo type="num" val="0"/>
        <cfvo type="num" val="1"/>
      </iconSet>
    </cfRule>
  </conditionalFormatting>
  <conditionalFormatting sqref="B75:B78">
    <cfRule type="colorScale" priority="11">
      <colorScale>
        <cfvo type="num" val="-1"/>
        <cfvo type="num" val="0"/>
        <cfvo type="num" val="1"/>
        <color rgb="FFD74F0C"/>
        <color rgb="FFFFE366"/>
        <color rgb="FF8FAE2A"/>
      </colorScale>
    </cfRule>
  </conditionalFormatting>
  <conditionalFormatting sqref="F75">
    <cfRule type="expression" priority="12" aboveAverage="0" equalAverage="0" bottom="0" percent="0" rank="0" text="" dxfId="15">
      <formula>F75=1</formula>
    </cfRule>
    <cfRule type="expression" priority="13" aboveAverage="0" equalAverage="0" bottom="0" percent="0" rank="0" text="" dxfId="16">
      <formula>F75=0</formula>
    </cfRule>
    <cfRule type="expression" priority="14" aboveAverage="0" equalAverage="0" bottom="0" percent="0" rank="0" text="" dxfId="17">
      <formula>F75=-1</formula>
    </cfRule>
    <cfRule type="iconSet" priority="15">
      <iconSet iconSet="3Symbols2">
        <cfvo type="percent" val="0"/>
        <cfvo type="num" val="0"/>
        <cfvo type="num" val="1"/>
      </iconSet>
    </cfRule>
  </conditionalFormatting>
  <conditionalFormatting sqref="F76">
    <cfRule type="expression" priority="16" aboveAverage="0" equalAverage="0" bottom="0" percent="0" rank="0" text="" dxfId="15">
      <formula>F76=1</formula>
    </cfRule>
    <cfRule type="expression" priority="17" aboveAverage="0" equalAverage="0" bottom="0" percent="0" rank="0" text="" dxfId="16">
      <formula>F76=0</formula>
    </cfRule>
    <cfRule type="expression" priority="18" aboveAverage="0" equalAverage="0" bottom="0" percent="0" rank="0" text="" dxfId="17">
      <formula>F76=-1</formula>
    </cfRule>
    <cfRule type="iconSet" priority="19">
      <iconSet iconSet="3Symbols2">
        <cfvo type="percent" val="0"/>
        <cfvo type="num" val="0"/>
        <cfvo type="num" val="1"/>
      </iconSet>
    </cfRule>
  </conditionalFormatting>
  <conditionalFormatting sqref="F77">
    <cfRule type="expression" priority="20" aboveAverage="0" equalAverage="0" bottom="0" percent="0" rank="0" text="" dxfId="15">
      <formula>F77=1</formula>
    </cfRule>
    <cfRule type="expression" priority="21" aboveAverage="0" equalAverage="0" bottom="0" percent="0" rank="0" text="" dxfId="16">
      <formula>F77=0</formula>
    </cfRule>
    <cfRule type="expression" priority="22" aboveAverage="0" equalAverage="0" bottom="0" percent="0" rank="0" text="" dxfId="17">
      <formula>F77=-1</formula>
    </cfRule>
    <cfRule type="iconSet" priority="23">
      <iconSet iconSet="3Symbols2">
        <cfvo type="percent" val="0"/>
        <cfvo type="num" val="0"/>
        <cfvo type="num" val="1"/>
      </iconSet>
    </cfRule>
  </conditionalFormatting>
  <conditionalFormatting sqref="F78">
    <cfRule type="expression" priority="24" aboveAverage="0" equalAverage="0" bottom="0" percent="0" rank="0" text="" dxfId="15">
      <formula>F78=1</formula>
    </cfRule>
    <cfRule type="expression" priority="25" aboveAverage="0" equalAverage="0" bottom="0" percent="0" rank="0" text="" dxfId="16">
      <formula>F78=0</formula>
    </cfRule>
    <cfRule type="expression" priority="26" aboveAverage="0" equalAverage="0" bottom="0" percent="0" rank="0" text="" dxfId="17">
      <formula>F78=-1</formula>
    </cfRule>
    <cfRule type="iconSet" priority="27">
      <iconSet iconSet="3Symbols2">
        <cfvo type="percent" val="0"/>
        <cfvo type="num" val="0"/>
        <cfvo type="num" val="1"/>
      </iconSet>
    </cfRule>
  </conditionalFormatting>
  <conditionalFormatting sqref="B84">
    <cfRule type="colorScale" priority="28">
      <colorScale>
        <cfvo type="num" val="-1"/>
        <cfvo type="num" val="0"/>
        <cfvo type="num" val="1"/>
        <color rgb="FFD74F0C"/>
        <color rgb="FFFFE366"/>
        <color rgb="FF8FAE2A"/>
      </colorScale>
    </cfRule>
  </conditionalFormatting>
  <conditionalFormatting sqref="F84">
    <cfRule type="expression" priority="29" aboveAverage="0" equalAverage="0" bottom="0" percent="0" rank="0" text="" dxfId="15">
      <formula>F84=1</formula>
    </cfRule>
    <cfRule type="expression" priority="30" aboveAverage="0" equalAverage="0" bottom="0" percent="0" rank="0" text="" dxfId="16">
      <formula>F84=0</formula>
    </cfRule>
    <cfRule type="expression" priority="31" aboveAverage="0" equalAverage="0" bottom="0" percent="0" rank="0" text="" dxfId="17">
      <formula>F84=-1</formula>
    </cfRule>
    <cfRule type="iconSet" priority="32">
      <iconSet iconSet="3Symbols2">
        <cfvo type="percent" val="0"/>
        <cfvo type="num" val="0"/>
        <cfvo type="num" val="1"/>
      </iconSet>
    </cfRule>
  </conditionalFormatting>
  <conditionalFormatting sqref="B87">
    <cfRule type="colorScale" priority="33">
      <colorScale>
        <cfvo type="num" val="-1"/>
        <cfvo type="num" val="0"/>
        <cfvo type="num" val="1"/>
        <color rgb="FFD74F0C"/>
        <color rgb="FFFFE366"/>
        <color rgb="FF8FAE2A"/>
      </colorScale>
    </cfRule>
  </conditionalFormatting>
  <conditionalFormatting sqref="F87">
    <cfRule type="expression" priority="34" aboveAverage="0" equalAverage="0" bottom="0" percent="0" rank="0" text="" dxfId="15">
      <formula>F87=1</formula>
    </cfRule>
    <cfRule type="expression" priority="35" aboveAverage="0" equalAverage="0" bottom="0" percent="0" rank="0" text="" dxfId="16">
      <formula>F87=0</formula>
    </cfRule>
    <cfRule type="expression" priority="36" aboveAverage="0" equalAverage="0" bottom="0" percent="0" rank="0" text="" dxfId="17">
      <formula>F87=-1</formula>
    </cfRule>
    <cfRule type="iconSet" priority="37">
      <iconSet iconSet="3Symbols2">
        <cfvo type="percent" val="0"/>
        <cfvo type="num" val="0"/>
        <cfvo type="num" val="1"/>
      </iconSet>
    </cfRule>
  </conditionalFormatting>
  <dataValidations count="20">
    <dataValidation allowBlank="true" errorStyle="stop" operator="between" prompt="Create an Idea Planner in this worksheet. Set a Goal and an Objective, and enter task details in the Tasks table" showDropDown="false" showErrorMessage="true" showInputMessage="true" sqref="A1" type="none">
      <formula1>0</formula1>
      <formula2>0</formula2>
    </dataValidation>
    <dataValidation allowBlank="true" errorStyle="stop" operator="between" prompt="Image is in this cell. Title of this worksheet is in cell below" showDropDown="false" showErrorMessage="true" showInputMessage="true" sqref="B1" type="none">
      <formula1>0</formula1>
      <formula2>0</formula2>
    </dataValidation>
    <dataValidation allowBlank="true" errorStyle="stop" operator="between" prompt="Enter Topic in cell at right" showDropDown="false" showErrorMessage="true" showInputMessage="true" sqref="D2" type="none">
      <formula1>0</formula1>
      <formula2>0</formula2>
    </dataValidation>
    <dataValidation allowBlank="true" errorStyle="stop" operator="between" prompt="Enter Topic in this cell" showDropDown="false" showErrorMessage="true" showInputMessage="true" sqref="E2" type="none">
      <formula1>0</formula1>
      <formula2>0</formula2>
    </dataValidation>
    <dataValidation allowBlank="true" errorStyle="stop" operator="between" prompt="Enter Keywords in cell at right" showDropDown="false" showErrorMessage="true" showInputMessage="true" sqref="F2" type="none">
      <formula1>0</formula1>
      <formula2>0</formula2>
    </dataValidation>
    <dataValidation allowBlank="true" errorStyle="stop" operator="between" prompt="Enter Plan Due Date in cell at right" showDropDown="false" showErrorMessage="true" showInputMessage="true" sqref="D3" type="none">
      <formula1>0</formula1>
      <formula2>0</formula2>
    </dataValidation>
    <dataValidation allowBlank="true" errorStyle="stop" operator="between" prompt="Enter Plan Due Date in this cell" showDropDown="false" showErrorMessage="true" showInputMessage="true" sqref="E3" type="none">
      <formula1>0</formula1>
      <formula2>0</formula2>
    </dataValidation>
    <dataValidation allowBlank="true" errorStyle="stop" operator="between" prompt="Enter Name in cell at right" showDropDown="false" showErrorMessage="true" showInputMessage="true" sqref="F3" type="none">
      <formula1>0</formula1>
      <formula2>0</formula2>
    </dataValidation>
    <dataValidation allowBlank="true" errorStyle="stop" operator="between" prompt="Enter Goal in cell below" showDropDown="false" showErrorMessage="true" showInputMessage="true" sqref="B4:D4" type="none">
      <formula1>0</formula1>
      <formula2>0</formula2>
    </dataValidation>
    <dataValidation allowBlank="true" errorStyle="stop" operator="between" prompt="Enter Objective in cell below" showDropDown="false" showErrorMessage="true" showInputMessage="true" sqref="E4:F4" type="none">
      <formula1>0</formula1>
      <formula2>0</formula2>
    </dataValidation>
    <dataValidation allowBlank="true" errorStyle="stop" operator="between" prompt="Enter Goal in this cell" showDropDown="false" showErrorMessage="true" showInputMessage="true" sqref="B5:D5" type="none">
      <formula1>0</formula1>
      <formula2>0</formula2>
    </dataValidation>
    <dataValidation allowBlank="true" errorStyle="stop" operator="between" prompt="This column is automatically updated and indicates status based on column F" showDropDown="false" showErrorMessage="true" showInputMessage="true" sqref="B6" type="none">
      <formula1>0</formula1>
      <formula2>0</formula2>
    </dataValidation>
    <dataValidation allowBlank="true" errorStyle="stop" operator="between" prompt="Enter Tasks in this column under this heading" showDropDown="false" showErrorMessage="true" showInputMessage="true" sqref="C6" type="none">
      <formula1>0</formula1>
      <formula2>0</formula2>
    </dataValidation>
    <dataValidation allowBlank="true" errorStyle="stop" operator="between" prompt="Enter Due Date in this column under this heading" showDropDown="false" showErrorMessage="true" showInputMessage="true" sqref="D6" type="none">
      <formula1>0</formula1>
      <formula2>0</formula2>
    </dataValidation>
    <dataValidation allowBlank="true" errorStyle="stop" operator="between" prompt="Select task completion status in this column. Press ALT+DOWN ARROW to open the drop-down list, ENTER to make selection. An icon representing this status is in the column at right" showDropDown="false" showErrorMessage="true" showInputMessage="true" sqref="E6" type="none">
      <formula1>0</formula1>
      <formula2>0</formula2>
    </dataValidation>
    <dataValidation allowBlank="true" errorStyle="stop" operator="between" prompt="Status icons in this column are automatically updated based on Done column value &amp; comparing Due Dates. Dates beyond the due date &amp; just before the due date are noted for emphasis" showDropDown="false" showErrorMessage="true" showInputMessage="true" sqref="F6" type="none">
      <formula1>0</formula1>
      <formula2>0</formula2>
    </dataValidation>
    <dataValidation allowBlank="true" errorStyle="stop" operator="between" prompt="Enter Objective in this cell" showDropDown="false" showErrorMessage="true" showInputMessage="true" sqref="E5:F5" type="none">
      <formula1>0</formula1>
      <formula2>0</formula2>
    </dataValidation>
    <dataValidation allowBlank="true" errorStyle="stop" operator="between" prompt="Title of this worksheet is in this cell. Enter idea details in cells at right. Enter Goal and Objective below. Enter tasks in Tasks table below" showDropDown="false" showErrorMessage="true" showInputMessage="true" sqref="B2:C3" type="none">
      <formula1>0</formula1>
      <formula2>0</formula2>
    </dataValidation>
    <dataValidation allowBlank="true" errorStyle="stop" operator="between" showDropDown="false" showErrorMessage="true" showInputMessage="true" sqref="G1:G1102" type="list">
      <formula1>"Sanjivan,Egor,Sanjivan &amp; Egor,Unbestimmt"</formula1>
      <formula2>0</formula2>
    </dataValidation>
    <dataValidation allowBlank="true" error="Select an option from the list. Press Cancel then ALT+DOWN ARROW to open the drop-down list, then ENTER to make selection" errorStyle="warning" operator="between" showDropDown="false" showErrorMessage="true" showInputMessage="true" sqref="E7:E102" type="list">
      <formula1>"Yes,No,Pending"</formula1>
      <formula2>0</formula2>
    </dataValidation>
  </dataValidations>
  <printOptions headings="false" gridLines="false" gridLinesSet="true" horizontalCentered="true" verticalCentered="false"/>
  <pageMargins left="0.25" right="0.25" top="0.75" bottom="0.597222222222222" header="0.511811023622047" footer="0.3"/>
  <pageSetup paperSize="1"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2017-04-20T06:51:36Z</dcterms:created>
  <dc:creator>Sanjivan Selvarasa</dc:creator>
  <dc:description/>
  <dc:language>en-US</dc:language>
  <cp:lastModifiedBy/>
  <dcterms:modified xsi:type="dcterms:W3CDTF">2026-03-12T11:13:05Z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